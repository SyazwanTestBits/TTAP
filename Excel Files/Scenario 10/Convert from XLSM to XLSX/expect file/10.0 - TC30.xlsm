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bit_SR\git\tb-ttap-brivge-syazwan\Excel Files\Scenario 10\Convert from XLSM to XLSX\expect file\"/>
    </mc:Choice>
  </mc:AlternateContent>
  <xr:revisionPtr revIDLastSave="0" documentId="13_ncr:1_{AEEADF4B-AA92-4E18-AA87-BB33BB98739E}" xr6:coauthVersionLast="47" xr6:coauthVersionMax="47" xr10:uidLastSave="{00000000-0000-0000-0000-000000000000}"/>
  <bookViews>
    <workbookView minimized="1" xWindow="-13455" yWindow="1380" windowWidth="21600" windowHeight="11235" xr2:uid="{00000000-000D-0000-FFFF-FFFF00000000}"/>
  </bookViews>
  <sheets>
    <sheet name="Stock Statu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1" l="1"/>
  <c r="U16" i="1"/>
  <c r="U15" i="1"/>
  <c r="U14" i="1"/>
  <c r="AF14" i="1" s="1"/>
  <c r="AJ14" i="1" s="1"/>
  <c r="AN14" i="1" s="1"/>
  <c r="AR14" i="1" s="1"/>
  <c r="AV14" i="1" s="1"/>
  <c r="AZ14" i="1" s="1"/>
  <c r="BD14" i="1" s="1"/>
  <c r="BH14" i="1" s="1"/>
  <c r="BL14" i="1" s="1"/>
  <c r="BP14" i="1" s="1"/>
  <c r="BT14" i="1" s="1"/>
  <c r="BX14" i="1" s="1"/>
  <c r="CB14" i="1" s="1"/>
  <c r="CF14" i="1" s="1"/>
  <c r="CJ14" i="1" s="1"/>
  <c r="CN14" i="1" s="1"/>
  <c r="CR14" i="1" s="1"/>
  <c r="CV14" i="1" s="1"/>
  <c r="CZ14" i="1" s="1"/>
  <c r="DD14" i="1" s="1"/>
  <c r="DH14" i="1" s="1"/>
  <c r="DL14" i="1" s="1"/>
  <c r="AF13" i="1"/>
  <c r="AJ13" i="1" s="1"/>
  <c r="AN13" i="1" s="1"/>
  <c r="AR13" i="1" s="1"/>
  <c r="AV13" i="1" s="1"/>
  <c r="AZ13" i="1" s="1"/>
  <c r="BD13" i="1" s="1"/>
  <c r="BH13" i="1" s="1"/>
  <c r="BL13" i="1" s="1"/>
  <c r="BP13" i="1" s="1"/>
  <c r="BT13" i="1" s="1"/>
  <c r="BX13" i="1" s="1"/>
  <c r="CB13" i="1" s="1"/>
  <c r="CF13" i="1" s="1"/>
  <c r="CJ13" i="1" s="1"/>
  <c r="CN13" i="1" s="1"/>
  <c r="CR13" i="1" s="1"/>
  <c r="CV13" i="1" s="1"/>
  <c r="CZ13" i="1" s="1"/>
  <c r="DD13" i="1" s="1"/>
  <c r="DH13" i="1" s="1"/>
  <c r="DL13" i="1" s="1"/>
  <c r="U13" i="1"/>
  <c r="U12" i="1"/>
  <c r="AF12" i="1" s="1"/>
  <c r="AJ12" i="1" s="1"/>
  <c r="AN12" i="1" s="1"/>
  <c r="AR12" i="1" s="1"/>
  <c r="AV12" i="1" s="1"/>
  <c r="AZ12" i="1" s="1"/>
  <c r="BD12" i="1" s="1"/>
  <c r="BH12" i="1" s="1"/>
  <c r="BL12" i="1" s="1"/>
  <c r="BP12" i="1" s="1"/>
  <c r="BT12" i="1" s="1"/>
  <c r="BX12" i="1" s="1"/>
  <c r="CB12" i="1" s="1"/>
  <c r="CF12" i="1" s="1"/>
  <c r="CJ12" i="1" s="1"/>
  <c r="CN12" i="1" s="1"/>
  <c r="CR12" i="1" s="1"/>
  <c r="CV12" i="1" s="1"/>
  <c r="CZ12" i="1" s="1"/>
  <c r="DD12" i="1" s="1"/>
  <c r="DH12" i="1" s="1"/>
  <c r="DL12" i="1" s="1"/>
  <c r="U11" i="1"/>
  <c r="AF11" i="1" s="1"/>
  <c r="AJ11" i="1" s="1"/>
  <c r="AN11" i="1" s="1"/>
  <c r="AR11" i="1" s="1"/>
  <c r="AV11" i="1" s="1"/>
  <c r="AZ11" i="1" s="1"/>
  <c r="BD11" i="1" s="1"/>
  <c r="BH11" i="1" s="1"/>
  <c r="BL11" i="1" s="1"/>
  <c r="BP11" i="1" s="1"/>
  <c r="BT11" i="1" s="1"/>
  <c r="BX11" i="1" s="1"/>
  <c r="CB11" i="1" s="1"/>
  <c r="CF11" i="1" s="1"/>
  <c r="CJ11" i="1" s="1"/>
  <c r="CN11" i="1" s="1"/>
  <c r="CR11" i="1" s="1"/>
  <c r="CV11" i="1" s="1"/>
  <c r="CZ11" i="1" s="1"/>
  <c r="DD11" i="1" s="1"/>
  <c r="DH11" i="1" s="1"/>
  <c r="DL11" i="1" s="1"/>
  <c r="U10" i="1"/>
  <c r="AF10" i="1" s="1"/>
  <c r="AJ10" i="1" s="1"/>
  <c r="AN10" i="1" s="1"/>
  <c r="AR10" i="1" s="1"/>
  <c r="AV10" i="1" s="1"/>
  <c r="AZ10" i="1" s="1"/>
  <c r="BD10" i="1" s="1"/>
  <c r="BH10" i="1" s="1"/>
  <c r="BL10" i="1" s="1"/>
  <c r="BP10" i="1" s="1"/>
  <c r="BT10" i="1" s="1"/>
  <c r="BX10" i="1" s="1"/>
  <c r="CB10" i="1" s="1"/>
  <c r="CF10" i="1" s="1"/>
  <c r="CJ10" i="1" s="1"/>
  <c r="CN10" i="1" s="1"/>
  <c r="CR10" i="1" s="1"/>
  <c r="CV10" i="1" s="1"/>
  <c r="CZ10" i="1" s="1"/>
  <c r="DD10" i="1" s="1"/>
  <c r="DH10" i="1" s="1"/>
  <c r="DL10" i="1" s="1"/>
  <c r="U9" i="1"/>
  <c r="AF9" i="1" s="1"/>
  <c r="AJ9" i="1" s="1"/>
  <c r="AN9" i="1" s="1"/>
  <c r="AR9" i="1" s="1"/>
  <c r="AV9" i="1" s="1"/>
  <c r="AZ9" i="1" s="1"/>
  <c r="BD9" i="1" s="1"/>
  <c r="BH9" i="1" s="1"/>
  <c r="BL9" i="1" s="1"/>
  <c r="BP9" i="1" s="1"/>
  <c r="BT9" i="1" s="1"/>
  <c r="BX9" i="1" s="1"/>
  <c r="CB9" i="1" s="1"/>
  <c r="CF9" i="1" s="1"/>
  <c r="CJ9" i="1" s="1"/>
  <c r="CN9" i="1" s="1"/>
  <c r="CR9" i="1" s="1"/>
  <c r="CV9" i="1" s="1"/>
  <c r="CZ9" i="1" s="1"/>
  <c r="DD9" i="1" s="1"/>
  <c r="DH9" i="1" s="1"/>
  <c r="DL9" i="1" s="1"/>
  <c r="U8" i="1"/>
  <c r="AF8" i="1" s="1"/>
  <c r="AJ8" i="1" s="1"/>
  <c r="AN8" i="1" s="1"/>
  <c r="AR8" i="1" s="1"/>
  <c r="AV8" i="1" s="1"/>
  <c r="AZ8" i="1" s="1"/>
  <c r="BD8" i="1" s="1"/>
  <c r="BH8" i="1" s="1"/>
  <c r="BL8" i="1" s="1"/>
  <c r="BP8" i="1" s="1"/>
  <c r="BT8" i="1" s="1"/>
  <c r="BX8" i="1" s="1"/>
  <c r="CB8" i="1" s="1"/>
  <c r="CF8" i="1" s="1"/>
  <c r="CJ8" i="1" s="1"/>
  <c r="CN8" i="1" s="1"/>
  <c r="CR8" i="1" s="1"/>
  <c r="CV8" i="1" s="1"/>
  <c r="CZ8" i="1" s="1"/>
  <c r="DD8" i="1" s="1"/>
  <c r="DH8" i="1" s="1"/>
  <c r="DL8" i="1" s="1"/>
</calcChain>
</file>

<file path=xl/sharedStrings.xml><?xml version="1.0" encoding="utf-8"?>
<sst xmlns="http://schemas.openxmlformats.org/spreadsheetml/2006/main" count="766" uniqueCount="166">
  <si>
    <t>Over Max</t>
  </si>
  <si>
    <t>Normal</t>
  </si>
  <si>
    <t>Alert 1</t>
  </si>
  <si>
    <t>Alert 2</t>
  </si>
  <si>
    <t>Alert 3</t>
  </si>
  <si>
    <t>No Usage</t>
  </si>
  <si>
    <t>Shortage</t>
  </si>
  <si>
    <t xml:space="preserve">Filter by selection  </t>
    <phoneticPr fontId="1" type="noConversion"/>
  </si>
  <si>
    <t xml:space="preserve">Legend  </t>
    <phoneticPr fontId="1" type="noConversion"/>
  </si>
  <si>
    <t>Stock Status</t>
  </si>
  <si>
    <t>27 week</t>
  </si>
  <si>
    <t>28 week</t>
  </si>
  <si>
    <t>29 week</t>
  </si>
  <si>
    <t>30 week</t>
  </si>
  <si>
    <t>31 week</t>
  </si>
  <si>
    <t>32 week</t>
  </si>
  <si>
    <t>33 week</t>
  </si>
  <si>
    <t>34 week</t>
  </si>
  <si>
    <t>35 week</t>
  </si>
  <si>
    <t>36 week</t>
  </si>
  <si>
    <t>37 week</t>
  </si>
  <si>
    <t>38 week</t>
  </si>
  <si>
    <t>39 week</t>
  </si>
  <si>
    <t>40 week</t>
  </si>
  <si>
    <t>41 week</t>
  </si>
  <si>
    <t>42 week</t>
  </si>
  <si>
    <t>43 week</t>
  </si>
  <si>
    <t>44 week</t>
  </si>
  <si>
    <t>45 week</t>
  </si>
  <si>
    <t>46 week</t>
  </si>
  <si>
    <t>47 week</t>
  </si>
  <si>
    <t>48 week</t>
  </si>
  <si>
    <t>49 week</t>
  </si>
  <si>
    <t>50 week</t>
  </si>
  <si>
    <t>Imp W/H Stock</t>
  </si>
  <si>
    <t>Actual OB</t>
  </si>
  <si>
    <t>Delay Inbound Qty</t>
  </si>
  <si>
    <t>Remarks</t>
  </si>
  <si>
    <t>Manager Remarks</t>
  </si>
  <si>
    <t>2023/7/3</t>
  </si>
  <si>
    <t>~</t>
  </si>
  <si>
    <t>2023/7/9</t>
  </si>
  <si>
    <t>2023/7/10</t>
  </si>
  <si>
    <t>2023/7/16</t>
  </si>
  <si>
    <t>2023/7/17</t>
  </si>
  <si>
    <t>2023/7/23</t>
  </si>
  <si>
    <t>2023/7/24</t>
  </si>
  <si>
    <t>2023/7/30</t>
  </si>
  <si>
    <t>2023/7/31</t>
  </si>
  <si>
    <t>2023/8/6</t>
  </si>
  <si>
    <t>2023/8/7</t>
  </si>
  <si>
    <t>2023/8/13</t>
  </si>
  <si>
    <t>2023/8/14</t>
  </si>
  <si>
    <t>2023/8/20</t>
  </si>
  <si>
    <t>2023/8/21</t>
  </si>
  <si>
    <t>2023/8/27</t>
  </si>
  <si>
    <t>2023/8/28</t>
  </si>
  <si>
    <t>2023/9/3</t>
  </si>
  <si>
    <t>2023/9/4</t>
  </si>
  <si>
    <t>2023/9/10</t>
  </si>
  <si>
    <t>2023/9/11</t>
  </si>
  <si>
    <t>2023/9/17</t>
  </si>
  <si>
    <t>2023/9/18</t>
  </si>
  <si>
    <t>2023/9/24</t>
  </si>
  <si>
    <t>2023/9/25</t>
  </si>
  <si>
    <t>2023/10/1</t>
  </si>
  <si>
    <t>2023/10/2</t>
  </si>
  <si>
    <t>2023/10/8</t>
  </si>
  <si>
    <t>2023/10/9</t>
  </si>
  <si>
    <t>2023/10/15</t>
  </si>
  <si>
    <t>2023/10/16</t>
  </si>
  <si>
    <t>2023/10/22</t>
  </si>
  <si>
    <t>2023/10/23</t>
  </si>
  <si>
    <t>2023/10/29</t>
  </si>
  <si>
    <t>2023/10/30</t>
  </si>
  <si>
    <t>2023/11/5</t>
  </si>
  <si>
    <t>2023/11/6</t>
  </si>
  <si>
    <t>2023/11/12</t>
  </si>
  <si>
    <t>2023/11/13</t>
  </si>
  <si>
    <t>2023/11/19</t>
  </si>
  <si>
    <t>2023/11/20</t>
  </si>
  <si>
    <t>2023/11/26</t>
  </si>
  <si>
    <t>2023/11/27</t>
  </si>
  <si>
    <t>2023/12/3</t>
  </si>
  <si>
    <t>2023/12/4</t>
  </si>
  <si>
    <t>2023/12/10</t>
  </si>
  <si>
    <t>2023/12/11</t>
  </si>
  <si>
    <t>2023/12/17</t>
  </si>
  <si>
    <t>No.</t>
  </si>
  <si>
    <t>Parts No.</t>
  </si>
  <si>
    <t>System Customer Code</t>
  </si>
  <si>
    <t>Customer Parts No.</t>
  </si>
  <si>
    <t>External Ref No.</t>
  </si>
  <si>
    <t>Back No.</t>
  </si>
  <si>
    <t>Export</t>
  </si>
  <si>
    <t>System Supplier Code</t>
  </si>
  <si>
    <t>Model</t>
  </si>
  <si>
    <t>Common Parts</t>
  </si>
  <si>
    <t>Special Parts Type</t>
  </si>
  <si>
    <t>SPQ</t>
  </si>
  <si>
    <t>Source</t>
  </si>
  <si>
    <t>Customer Stock Date</t>
  </si>
  <si>
    <t>Customer Stock</t>
  </si>
  <si>
    <t>Customer Stock &gt; 30 days</t>
  </si>
  <si>
    <t>Stock Qty</t>
  </si>
  <si>
    <t>Stock Qty (On-Hold)</t>
  </si>
  <si>
    <t>Adjustment (Stock)</t>
  </si>
  <si>
    <t>Adjustment (On-Hold)</t>
  </si>
  <si>
    <t>Total (Excludes On-Hold)</t>
  </si>
  <si>
    <t>Stock Days</t>
  </si>
  <si>
    <t>Box Count</t>
  </si>
  <si>
    <t>Low Stock Alert</t>
  </si>
  <si>
    <t>% of Forecast</t>
  </si>
  <si>
    <t>In</t>
  </si>
  <si>
    <t>Out</t>
  </si>
  <si>
    <t>Balance</t>
  </si>
  <si>
    <t>1</t>
  </si>
  <si>
    <t>PNATEST202306050000000000002</t>
  </si>
  <si>
    <t>MY-PNA-CUS</t>
  </si>
  <si>
    <t>MYCUS-PNATEST,20230605000000000000-2</t>
  </si>
  <si>
    <t>MY-PNA-CUS-MY-PNA-001</t>
  </si>
  <si>
    <t/>
  </si>
  <si>
    <t>MY</t>
  </si>
  <si>
    <t>MY-ELA-SUP</t>
  </si>
  <si>
    <t>LCBM</t>
  </si>
  <si>
    <t>0</t>
  </si>
  <si>
    <t>&lt;= 9</t>
  </si>
  <si>
    <t>-</t>
  </si>
  <si>
    <t>2</t>
  </si>
  <si>
    <t>PNATEST202306050000000000001</t>
  </si>
  <si>
    <t>MYCUS-PNATEST,20230605000000000000-1</t>
  </si>
  <si>
    <t>b00006</t>
  </si>
  <si>
    <t>3</t>
  </si>
  <si>
    <t>pnaNSL2BLACK</t>
  </si>
  <si>
    <t>pna-NSL-2BLACK</t>
  </si>
  <si>
    <t>b00005</t>
  </si>
  <si>
    <t>JP</t>
  </si>
  <si>
    <t>JP-YAZ-SUP</t>
  </si>
  <si>
    <t>4</t>
  </si>
  <si>
    <t>pna45050040130</t>
  </si>
  <si>
    <t>pna-45050040130</t>
  </si>
  <si>
    <t>b00004</t>
  </si>
  <si>
    <t>5</t>
  </si>
  <si>
    <t>pna18007703930</t>
  </si>
  <si>
    <t>pna-18007703930</t>
  </si>
  <si>
    <t>b00003</t>
  </si>
  <si>
    <t>6</t>
  </si>
  <si>
    <t>pna18001404835</t>
  </si>
  <si>
    <t>pna-18001404835</t>
  </si>
  <si>
    <t>b00002</t>
  </si>
  <si>
    <t>7</t>
  </si>
  <si>
    <t>pna1219AS1</t>
  </si>
  <si>
    <t>pna-1219AS-1</t>
  </si>
  <si>
    <t>b00001</t>
  </si>
  <si>
    <t>8</t>
  </si>
  <si>
    <t>82151BZK50</t>
  </si>
  <si>
    <t>82151-BZK50</t>
  </si>
  <si>
    <t>MY-PNA-CUS-MY-PNA-L2-001</t>
  </si>
  <si>
    <t>Back2</t>
  </si>
  <si>
    <t>9</t>
  </si>
  <si>
    <t>82151BZE00</t>
  </si>
  <si>
    <t>82151-BZE00</t>
  </si>
  <si>
    <t>Back1</t>
  </si>
  <si>
    <t>10</t>
  </si>
  <si>
    <t>82151BZD90</t>
  </si>
  <si>
    <t>82151-BZD90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</si>
</sst>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"/>
    <numFmt numFmtId="165" formatCode="#,##0%"/>
    <numFmt numFmtId="166" formatCode="dd\ mmm\ yyyy"/>
  </numFmts>
  <fonts count="29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8"/>
      <color indexed="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等线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566B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D247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CCFFFF"/>
      </patternFill>
    </fill>
    <fill>
      <patternFill patternType="solid">
        <fgColor rgb="FF00B0F0"/>
      </patternFill>
    </fill>
    <fill>
      <patternFill patternType="solid">
        <fgColor rgb="FFF4B084"/>
      </patternFill>
    </fill>
    <fill>
      <patternFill patternType="solid">
        <fgColor rgb="FFFCE4D6"/>
      </patternFill>
    </fill>
    <fill>
      <patternFill patternType="solid">
        <fgColor rgb="FFD9E1F2"/>
      </patternFill>
    </fill>
    <fill>
      <patternFill patternType="solid">
        <fgColor rgb="FFD9D9D9"/>
      </patternFill>
    </fill>
    <fill>
      <patternFill patternType="solid">
        <fgColor rgb="FFFFFFCC"/>
      </patternFill>
    </fill>
    <fill>
      <patternFill patternType="solid">
        <fgColor rgb="FFA6A6A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4">
    <xf numFmtId="0" fontId="0" fillId="0" borderId="0" xfId="0">
      <alignment vertical="center"/>
    </xf>
    <xf numFmtId="0" fontId="4" fillId="2" borderId="0" xfId="1" applyFont="1" applyFill="1" applyAlignment="1" applyProtection="1">
      <alignment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1" xfId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right" vertical="center"/>
    </xf>
    <xf numFmtId="0" fontId="10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17" fillId="11" borderId="2" xfId="0" applyFont="1" applyFill="1" applyBorder="1" applyAlignment="1">
      <alignment horizontal="center" vertical="center" wrapText="1"/>
    </xf>
    <xf numFmtId="0" fontId="18" fillId="12" borderId="2" xfId="0" applyFont="1" applyFill="1" applyBorder="1" applyAlignment="1">
      <alignment horizontal="center" vertical="center" wrapText="1"/>
    </xf>
    <xf numFmtId="164" fontId="19" fillId="13" borderId="2" xfId="0" applyNumberFormat="1" applyFont="1" applyFill="1" applyBorder="1" applyAlignment="1">
      <alignment horizontal="center" vertical="center" wrapText="1"/>
    </xf>
    <xf numFmtId="0" fontId="20" fillId="14" borderId="2" xfId="0" applyFont="1" applyFill="1" applyBorder="1" applyAlignment="1">
      <alignment horizontal="left" vertical="center"/>
    </xf>
    <xf numFmtId="0" fontId="21" fillId="0" borderId="2" xfId="0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right" vertical="center"/>
    </xf>
    <xf numFmtId="3" fontId="25" fillId="0" borderId="2" xfId="0" applyNumberFormat="1" applyFont="1" applyBorder="1" applyAlignment="1">
      <alignment horizontal="right" vertical="center"/>
    </xf>
    <xf numFmtId="166" fontId="27" fillId="0" borderId="2" xfId="0" applyNumberFormat="1" applyFont="1" applyBorder="1" applyAlignment="1">
      <alignment horizontal="left" vertical="center"/>
    </xf>
    <xf numFmtId="0" fontId="18" fillId="12" borderId="2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0" fillId="0" borderId="0" xfId="0">
      <alignment vertical="center"/>
    </xf>
    <xf numFmtId="0" fontId="15" fillId="9" borderId="2" xfId="0" applyFont="1" applyFill="1" applyBorder="1" applyAlignment="1">
      <alignment horizontal="center" vertical="center" wrapText="1"/>
    </xf>
    <xf numFmtId="0" fontId="17" fillId="11" borderId="2" xfId="0" applyFont="1" applyFill="1" applyBorder="1" applyAlignment="1">
      <alignment horizontal="center" vertical="center" wrapText="1"/>
    </xf>
    <xf numFmtId="0" fontId="21" fillId="15" borderId="2" xfId="0" applyFont="1" applyFill="1" applyBorder="1" applyAlignment="1">
      <alignment horizontal="left" vertical="center"/>
    </xf>
    <xf numFmtId="4" fontId="26" fillId="15" borderId="2" xfId="0" applyNumberFormat="1" applyFont="1" applyFill="1" applyBorder="1" applyAlignment="1">
      <alignment horizontal="right" vertical="center"/>
    </xf>
    <xf numFmtId="166" fontId="27" fillId="15" borderId="2" xfId="0" applyNumberFormat="1" applyFont="1" applyFill="1" applyBorder="1" applyAlignment="1">
      <alignment horizontal="left" vertical="center"/>
    </xf>
    <xf numFmtId="0" fontId="23" fillId="15" borderId="2" xfId="0" applyFont="1" applyFill="1" applyBorder="1" applyAlignment="1">
      <alignment horizontal="right" vertical="center"/>
    </xf>
    <xf numFmtId="0" fontId="20" fillId="15" borderId="2" xfId="0" applyFont="1" applyFill="1" applyBorder="1" applyAlignment="1">
      <alignment horizontal="left" vertical="center"/>
    </xf>
    <xf numFmtId="0" fontId="11" fillId="15" borderId="2" xfId="0" applyFont="1" applyFill="1" applyBorder="1" applyAlignment="1">
      <alignment horizontal="center" vertical="center"/>
    </xf>
    <xf numFmtId="165" fontId="22" fillId="15" borderId="2" xfId="0" applyNumberFormat="1" applyFont="1" applyFill="1" applyBorder="1" applyAlignment="1">
      <alignment horizontal="right" vertical="center"/>
    </xf>
    <xf numFmtId="3" fontId="24" fillId="15" borderId="2" xfId="0" applyNumberFormat="1" applyFont="1" applyFill="1" applyBorder="1" applyAlignment="1">
      <alignment horizontal="right" vertical="center"/>
    </xf>
    <xf numFmtId="0" fontId="0" fillId="15" borderId="0" xfId="0" applyFill="1">
      <alignment vertical="center"/>
    </xf>
    <xf numFmtId="0" fontId="21" fillId="16" borderId="2" xfId="0" applyFont="1" applyFill="1" applyBorder="1" applyAlignment="1">
      <alignment horizontal="left" vertical="center"/>
    </xf>
    <xf numFmtId="4" fontId="26" fillId="16" borderId="2" xfId="0" applyNumberFormat="1" applyFont="1" applyFill="1" applyBorder="1" applyAlignment="1">
      <alignment horizontal="right" vertical="center"/>
    </xf>
    <xf numFmtId="166" fontId="27" fillId="16" borderId="2" xfId="0" applyNumberFormat="1" applyFont="1" applyFill="1" applyBorder="1" applyAlignment="1">
      <alignment horizontal="left" vertical="center"/>
    </xf>
    <xf numFmtId="0" fontId="23" fillId="16" borderId="2" xfId="0" applyFont="1" applyFill="1" applyBorder="1" applyAlignment="1">
      <alignment horizontal="right" vertical="center"/>
    </xf>
    <xf numFmtId="0" fontId="20" fillId="16" borderId="2" xfId="0" applyFont="1" applyFill="1" applyBorder="1" applyAlignment="1">
      <alignment horizontal="left" vertical="center"/>
    </xf>
    <xf numFmtId="0" fontId="11" fillId="16" borderId="2" xfId="0" applyFont="1" applyFill="1" applyBorder="1" applyAlignment="1">
      <alignment horizontal="center" vertical="center"/>
    </xf>
    <xf numFmtId="165" fontId="22" fillId="16" borderId="2" xfId="0" applyNumberFormat="1" applyFont="1" applyFill="1" applyBorder="1" applyAlignment="1">
      <alignment horizontal="right" vertical="center"/>
    </xf>
    <xf numFmtId="3" fontId="24" fillId="16" borderId="2" xfId="0" applyNumberFormat="1" applyFont="1" applyFill="1" applyBorder="1" applyAlignment="1">
      <alignment horizontal="right" vertical="center"/>
    </xf>
    <xf numFmtId="0" fontId="0" fillId="16" borderId="0" xfId="0" applyFill="1">
      <alignment vertical="center"/>
    </xf>
    <xf numFmtId="0" fontId="21" fillId="17" borderId="2" xfId="0" applyFont="1" applyFill="1" applyBorder="1" applyAlignment="1">
      <alignment horizontal="left" vertical="center"/>
    </xf>
    <xf numFmtId="3" fontId="25" fillId="17" borderId="2" xfId="0" applyNumberFormat="1" applyFont="1" applyFill="1" applyBorder="1" applyAlignment="1">
      <alignment horizontal="right" vertical="center"/>
    </xf>
    <xf numFmtId="166" fontId="27" fillId="17" borderId="2" xfId="0" applyNumberFormat="1" applyFont="1" applyFill="1" applyBorder="1" applyAlignment="1">
      <alignment horizontal="left" vertical="center"/>
    </xf>
    <xf numFmtId="0" fontId="23" fillId="17" borderId="2" xfId="0" applyFont="1" applyFill="1" applyBorder="1" applyAlignment="1">
      <alignment horizontal="right" vertical="center"/>
    </xf>
    <xf numFmtId="0" fontId="20" fillId="17" borderId="2" xfId="0" applyFont="1" applyFill="1" applyBorder="1" applyAlignment="1">
      <alignment horizontal="left" vertical="center"/>
    </xf>
    <xf numFmtId="0" fontId="11" fillId="17" borderId="2" xfId="0" applyFont="1" applyFill="1" applyBorder="1" applyAlignment="1">
      <alignment horizontal="center" vertical="center"/>
    </xf>
    <xf numFmtId="165" fontId="22" fillId="17" borderId="2" xfId="0" applyNumberFormat="1" applyFont="1" applyFill="1" applyBorder="1" applyAlignment="1">
      <alignment horizontal="right" vertical="center"/>
    </xf>
    <xf numFmtId="3" fontId="24" fillId="17" borderId="2" xfId="0" applyNumberFormat="1" applyFont="1" applyFill="1" applyBorder="1" applyAlignment="1">
      <alignment horizontal="right" vertical="center"/>
    </xf>
    <xf numFmtId="0" fontId="0" fillId="17" borderId="0" xfId="0" applyFill="1">
      <alignment vertical="center"/>
    </xf>
    <xf numFmtId="0" fontId="21" fillId="18" borderId="2" xfId="0" applyFont="1" applyFill="1" applyBorder="1" applyAlignment="1">
      <alignment horizontal="left" vertical="center"/>
    </xf>
    <xf numFmtId="4" fontId="26" fillId="18" borderId="2" xfId="0" applyNumberFormat="1" applyFont="1" applyFill="1" applyBorder="1" applyAlignment="1">
      <alignment horizontal="right" vertical="center"/>
    </xf>
    <xf numFmtId="166" fontId="27" fillId="18" borderId="2" xfId="0" applyNumberFormat="1" applyFont="1" applyFill="1" applyBorder="1" applyAlignment="1">
      <alignment horizontal="left" vertical="center"/>
    </xf>
    <xf numFmtId="0" fontId="23" fillId="18" borderId="2" xfId="0" applyFont="1" applyFill="1" applyBorder="1" applyAlignment="1">
      <alignment horizontal="right" vertical="center"/>
    </xf>
    <xf numFmtId="0" fontId="20" fillId="18" borderId="2" xfId="0" applyFont="1" applyFill="1" applyBorder="1" applyAlignment="1">
      <alignment horizontal="left" vertical="center"/>
    </xf>
    <xf numFmtId="0" fontId="11" fillId="18" borderId="2" xfId="0" applyFont="1" applyFill="1" applyBorder="1" applyAlignment="1">
      <alignment horizontal="center" vertical="center"/>
    </xf>
    <xf numFmtId="165" fontId="22" fillId="18" borderId="2" xfId="0" applyNumberFormat="1" applyFont="1" applyFill="1" applyBorder="1" applyAlignment="1">
      <alignment horizontal="right" vertical="center"/>
    </xf>
    <xf numFmtId="3" fontId="24" fillId="18" borderId="2" xfId="0" applyNumberFormat="1" applyFont="1" applyFill="1" applyBorder="1" applyAlignment="1">
      <alignment horizontal="right" vertical="center"/>
    </xf>
    <xf numFmtId="0" fontId="0" fillId="18" borderId="0" xfId="0" applyFill="1">
      <alignment vertical="center"/>
    </xf>
    <xf numFmtId="0" fontId="21" fillId="19" borderId="2" xfId="0" applyFont="1" applyFill="1" applyBorder="1" applyAlignment="1">
      <alignment horizontal="left" vertical="center"/>
    </xf>
    <xf numFmtId="4" fontId="26" fillId="19" borderId="2" xfId="0" applyNumberFormat="1" applyFont="1" applyFill="1" applyBorder="1" applyAlignment="1">
      <alignment horizontal="right" vertical="center"/>
    </xf>
    <xf numFmtId="166" fontId="27" fillId="19" borderId="2" xfId="0" applyNumberFormat="1" applyFont="1" applyFill="1" applyBorder="1" applyAlignment="1">
      <alignment horizontal="left" vertical="center"/>
    </xf>
    <xf numFmtId="0" fontId="23" fillId="19" borderId="2" xfId="0" applyFont="1" applyFill="1" applyBorder="1" applyAlignment="1">
      <alignment horizontal="right" vertical="center"/>
    </xf>
    <xf numFmtId="0" fontId="20" fillId="19" borderId="2" xfId="0" applyFont="1" applyFill="1" applyBorder="1" applyAlignment="1">
      <alignment horizontal="left" vertical="center"/>
    </xf>
    <xf numFmtId="0" fontId="11" fillId="19" borderId="2" xfId="0" applyFont="1" applyFill="1" applyBorder="1" applyAlignment="1">
      <alignment horizontal="center" vertical="center"/>
    </xf>
    <xf numFmtId="165" fontId="22" fillId="19" borderId="2" xfId="0" applyNumberFormat="1" applyFont="1" applyFill="1" applyBorder="1" applyAlignment="1">
      <alignment horizontal="right" vertical="center"/>
    </xf>
    <xf numFmtId="3" fontId="24" fillId="19" borderId="2" xfId="0" applyNumberFormat="1" applyFont="1" applyFill="1" applyBorder="1" applyAlignment="1">
      <alignment horizontal="right" vertical="center"/>
    </xf>
    <xf numFmtId="0" fontId="0" fillId="19" borderId="0" xfId="0" applyFill="1">
      <alignment vertical="center"/>
    </xf>
    <xf numFmtId="0" fontId="21" fillId="20" borderId="2" xfId="0" applyFont="1" applyFill="1" applyBorder="1" applyAlignment="1">
      <alignment horizontal="left" vertical="center"/>
    </xf>
    <xf numFmtId="4" fontId="26" fillId="20" borderId="2" xfId="0" applyNumberFormat="1" applyFont="1" applyFill="1" applyBorder="1" applyAlignment="1">
      <alignment horizontal="right" vertical="center"/>
    </xf>
    <xf numFmtId="166" fontId="27" fillId="20" borderId="2" xfId="0" applyNumberFormat="1" applyFont="1" applyFill="1" applyBorder="1" applyAlignment="1">
      <alignment horizontal="left" vertical="center"/>
    </xf>
    <xf numFmtId="0" fontId="23" fillId="20" borderId="2" xfId="0" applyFont="1" applyFill="1" applyBorder="1" applyAlignment="1">
      <alignment horizontal="right" vertical="center"/>
    </xf>
    <xf numFmtId="0" fontId="20" fillId="20" borderId="2" xfId="0" applyFont="1" applyFill="1" applyBorder="1" applyAlignment="1">
      <alignment horizontal="left" vertical="center"/>
    </xf>
    <xf numFmtId="0" fontId="11" fillId="20" borderId="2" xfId="0" applyFont="1" applyFill="1" applyBorder="1" applyAlignment="1">
      <alignment horizontal="center" vertical="center"/>
    </xf>
    <xf numFmtId="165" fontId="22" fillId="20" borderId="2" xfId="0" applyNumberFormat="1" applyFont="1" applyFill="1" applyBorder="1" applyAlignment="1">
      <alignment horizontal="right" vertical="center"/>
    </xf>
    <xf numFmtId="3" fontId="24" fillId="20" borderId="2" xfId="0" applyNumberFormat="1" applyFont="1" applyFill="1" applyBorder="1" applyAlignment="1">
      <alignment horizontal="right" vertical="center"/>
    </xf>
    <xf numFmtId="0" fontId="0" fillId="20" borderId="0" xfId="0" applyFill="1">
      <alignment vertical="center"/>
    </xf>
    <xf numFmtId="0" fontId="21" fillId="21" borderId="2" xfId="0" applyFont="1" applyFill="1" applyBorder="1" applyAlignment="1">
      <alignment horizontal="left" vertical="center"/>
    </xf>
    <xf numFmtId="3" fontId="25" fillId="21" borderId="2" xfId="0" applyNumberFormat="1" applyFont="1" applyFill="1" applyBorder="1" applyAlignment="1">
      <alignment horizontal="right" vertical="center"/>
    </xf>
    <xf numFmtId="166" fontId="27" fillId="21" borderId="2" xfId="0" applyNumberFormat="1" applyFont="1" applyFill="1" applyBorder="1" applyAlignment="1">
      <alignment horizontal="left" vertical="center"/>
    </xf>
    <xf numFmtId="0" fontId="23" fillId="21" borderId="2" xfId="0" applyFont="1" applyFill="1" applyBorder="1" applyAlignment="1">
      <alignment horizontal="right" vertical="center"/>
    </xf>
    <xf numFmtId="0" fontId="20" fillId="21" borderId="2" xfId="0" applyFont="1" applyFill="1" applyBorder="1" applyAlignment="1">
      <alignment horizontal="left" vertical="center"/>
    </xf>
    <xf numFmtId="0" fontId="11" fillId="21" borderId="2" xfId="0" applyFont="1" applyFill="1" applyBorder="1" applyAlignment="1">
      <alignment horizontal="center" vertical="center"/>
    </xf>
    <xf numFmtId="165" fontId="22" fillId="21" borderId="2" xfId="0" applyNumberFormat="1" applyFont="1" applyFill="1" applyBorder="1" applyAlignment="1">
      <alignment horizontal="right" vertical="center"/>
    </xf>
    <xf numFmtId="3" fontId="24" fillId="21" borderId="2" xfId="0" applyNumberFormat="1" applyFont="1" applyFill="1" applyBorder="1" applyAlignment="1">
      <alignment horizontal="right" vertical="center"/>
    </xf>
    <xf numFmtId="0" fontId="0" fillId="21" borderId="0" xfId="0" applyFill="1">
      <alignment vertical="center"/>
    </xf>
  </cellXfs>
  <cellStyles count="2">
    <cellStyle name="Normal" xfId="0" builtinId="0"/>
    <cellStyle name="Normal 2 2" xfId="1" xr:uid="{00000000-0005-0000-0000-00000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266700</xdr:colOff>
          <xdr:row>1</xdr:row>
          <xdr:rowOff>152400</xdr:rowOff>
        </xdr:from>
        <xdr:to>
          <xdr:col>29</xdr:col>
          <xdr:colOff>510540</xdr:colOff>
          <xdr:row>3</xdr:row>
          <xdr:rowOff>53340</xdr:rowOff>
        </xdr:to>
        <xdr:sp macro="" textlink="">
          <xdr:nvSpPr>
            <xdr:cNvPr id="1032" name="C_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266700</xdr:colOff>
          <xdr:row>1</xdr:row>
          <xdr:rowOff>152400</xdr:rowOff>
        </xdr:from>
        <xdr:to>
          <xdr:col>30</xdr:col>
          <xdr:colOff>510540</xdr:colOff>
          <xdr:row>3</xdr:row>
          <xdr:rowOff>53340</xdr:rowOff>
        </xdr:to>
        <xdr:sp macro="" textlink="">
          <xdr:nvSpPr>
            <xdr:cNvPr id="1033" name="C_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266700</xdr:colOff>
          <xdr:row>1</xdr:row>
          <xdr:rowOff>152400</xdr:rowOff>
        </xdr:from>
        <xdr:to>
          <xdr:col>31</xdr:col>
          <xdr:colOff>510540</xdr:colOff>
          <xdr:row>3</xdr:row>
          <xdr:rowOff>53340</xdr:rowOff>
        </xdr:to>
        <xdr:sp macro="" textlink="">
          <xdr:nvSpPr>
            <xdr:cNvPr id="1034" name="C_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266700</xdr:colOff>
          <xdr:row>1</xdr:row>
          <xdr:rowOff>152400</xdr:rowOff>
        </xdr:from>
        <xdr:to>
          <xdr:col>32</xdr:col>
          <xdr:colOff>510540</xdr:colOff>
          <xdr:row>3</xdr:row>
          <xdr:rowOff>53340</xdr:rowOff>
        </xdr:to>
        <xdr:sp macro="" textlink="">
          <xdr:nvSpPr>
            <xdr:cNvPr id="1035" name="C_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266700</xdr:colOff>
          <xdr:row>1</xdr:row>
          <xdr:rowOff>152400</xdr:rowOff>
        </xdr:from>
        <xdr:to>
          <xdr:col>33</xdr:col>
          <xdr:colOff>510540</xdr:colOff>
          <xdr:row>3</xdr:row>
          <xdr:rowOff>53340</xdr:rowOff>
        </xdr:to>
        <xdr:sp macro="" textlink="">
          <xdr:nvSpPr>
            <xdr:cNvPr id="1036" name="C_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266700</xdr:colOff>
          <xdr:row>1</xdr:row>
          <xdr:rowOff>152400</xdr:rowOff>
        </xdr:from>
        <xdr:to>
          <xdr:col>34</xdr:col>
          <xdr:colOff>510540</xdr:colOff>
          <xdr:row>3</xdr:row>
          <xdr:rowOff>53340</xdr:rowOff>
        </xdr:to>
        <xdr:sp macro="" textlink="">
          <xdr:nvSpPr>
            <xdr:cNvPr id="1037" name="C_6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266700</xdr:colOff>
          <xdr:row>1</xdr:row>
          <xdr:rowOff>152400</xdr:rowOff>
        </xdr:from>
        <xdr:to>
          <xdr:col>35</xdr:col>
          <xdr:colOff>510540</xdr:colOff>
          <xdr:row>3</xdr:row>
          <xdr:rowOff>53340</xdr:rowOff>
        </xdr:to>
        <xdr:sp macro="" textlink="">
          <xdr:nvSpPr>
            <xdr:cNvPr id="1038" name="C_7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22860</xdr:colOff>
          <xdr:row>2</xdr:row>
          <xdr:rowOff>15240</xdr:rowOff>
        </xdr:from>
        <xdr:to>
          <xdr:col>36</xdr:col>
          <xdr:colOff>1043940</xdr:colOff>
          <xdr:row>2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B17"/>
  <sheetViews>
    <sheetView showGridLines="0" tabSelected="1" topLeftCell="I1" workbookViewId="0">
      <selection activeCell="W25" sqref="W25"/>
    </sheetView>
  </sheetViews>
  <sheetFormatPr defaultRowHeight="14.4"/>
  <cols>
    <col min="1" max="1" width="8.21875" customWidth="1"/>
    <col min="2" max="2" width="31.21875" customWidth="1"/>
    <col min="3" max="4" width="18.44140625" customWidth="1"/>
    <col min="5" max="5" width="16.33203125" customWidth="1"/>
    <col min="6" max="7" width="18.21875" customWidth="1"/>
    <col min="8" max="11" width="16.44140625" customWidth="1"/>
    <col min="12" max="14" width="12.33203125" customWidth="1"/>
    <col min="15" max="16" width="11.33203125" customWidth="1"/>
    <col min="17" max="19" width="14.44140625" customWidth="1"/>
    <col min="20" max="24" width="11.33203125" customWidth="1"/>
    <col min="25" max="26" width="10.44140625" customWidth="1"/>
    <col min="27" max="27" width="15.88671875" customWidth="1"/>
    <col min="28" max="28" width="42.33203125" customWidth="1"/>
    <col min="29" max="29" width="42.33203125" customWidth="1" collapsed="1"/>
    <col min="31" max="126" width="11.33203125" customWidth="1"/>
    <col min="127" max="132" width="0" hidden="1" customWidth="1"/>
  </cols>
  <sheetData>
    <row r="1" spans="1:132">
      <c r="A1" s="27" t="s">
        <v>9</v>
      </c>
      <c r="B1" s="28"/>
      <c r="C1" s="28"/>
      <c r="W1" s="28"/>
    </row>
    <row r="2" spans="1:132">
      <c r="A2" s="28"/>
      <c r="B2" s="28"/>
      <c r="C2" s="28"/>
      <c r="W2" s="28"/>
      <c r="AC2" s="9" t="s">
        <v>8</v>
      </c>
      <c r="AD2" s="2" t="s">
        <v>0</v>
      </c>
      <c r="AE2" s="3" t="s">
        <v>1</v>
      </c>
      <c r="AF2" s="4" t="s">
        <v>2</v>
      </c>
      <c r="AG2" s="5" t="s">
        <v>3</v>
      </c>
      <c r="AH2" s="6" t="s">
        <v>4</v>
      </c>
      <c r="AI2" s="7" t="s">
        <v>5</v>
      </c>
      <c r="AJ2" s="3" t="s">
        <v>6</v>
      </c>
      <c r="AK2" s="1"/>
    </row>
    <row r="3" spans="1:132">
      <c r="W3" s="28"/>
      <c r="AC3" s="9" t="s">
        <v>7</v>
      </c>
      <c r="AD3" s="8"/>
      <c r="AE3" s="8"/>
      <c r="AF3" s="8"/>
      <c r="AG3" s="8"/>
      <c r="AH3" s="8"/>
      <c r="AI3" s="8"/>
      <c r="AJ3" s="8"/>
      <c r="AK3" s="1"/>
    </row>
    <row r="4" spans="1:132">
      <c r="W4" s="28"/>
    </row>
    <row r="5" spans="1:132">
      <c r="W5" s="28"/>
      <c r="AD5" s="25" t="s">
        <v>10</v>
      </c>
      <c r="AE5" s="25"/>
      <c r="AF5" s="25"/>
      <c r="AG5" s="25"/>
      <c r="AH5" s="25" t="s">
        <v>11</v>
      </c>
      <c r="AI5" s="25"/>
      <c r="AJ5" s="25"/>
      <c r="AK5" s="25"/>
      <c r="AL5" s="25" t="s">
        <v>12</v>
      </c>
      <c r="AM5" s="25"/>
      <c r="AN5" s="25"/>
      <c r="AO5" s="25"/>
      <c r="AP5" s="25" t="s">
        <v>13</v>
      </c>
      <c r="AQ5" s="25"/>
      <c r="AR5" s="25"/>
      <c r="AS5" s="25"/>
      <c r="AT5" s="25" t="s">
        <v>14</v>
      </c>
      <c r="AU5" s="25"/>
      <c r="AV5" s="25"/>
      <c r="AW5" s="25"/>
      <c r="AX5" s="25" t="s">
        <v>15</v>
      </c>
      <c r="AY5" s="25"/>
      <c r="AZ5" s="25"/>
      <c r="BA5" s="25"/>
      <c r="BB5" s="25" t="s">
        <v>16</v>
      </c>
      <c r="BC5" s="25"/>
      <c r="BD5" s="25"/>
      <c r="BE5" s="25"/>
      <c r="BF5" s="25" t="s">
        <v>17</v>
      </c>
      <c r="BG5" s="25"/>
      <c r="BH5" s="25"/>
      <c r="BI5" s="25"/>
      <c r="BJ5" s="25" t="s">
        <v>18</v>
      </c>
      <c r="BK5" s="25"/>
      <c r="BL5" s="25"/>
      <c r="BM5" s="25"/>
      <c r="BN5" s="25" t="s">
        <v>19</v>
      </c>
      <c r="BO5" s="25"/>
      <c r="BP5" s="25"/>
      <c r="BQ5" s="25"/>
      <c r="BR5" s="25" t="s">
        <v>20</v>
      </c>
      <c r="BS5" s="25"/>
      <c r="BT5" s="25"/>
      <c r="BU5" s="25"/>
      <c r="BV5" s="25" t="s">
        <v>21</v>
      </c>
      <c r="BW5" s="25"/>
      <c r="BX5" s="25"/>
      <c r="BY5" s="25"/>
      <c r="BZ5" s="25" t="s">
        <v>22</v>
      </c>
      <c r="CA5" s="25"/>
      <c r="CB5" s="25"/>
      <c r="CC5" s="25"/>
      <c r="CD5" s="25" t="s">
        <v>23</v>
      </c>
      <c r="CE5" s="25"/>
      <c r="CF5" s="25"/>
      <c r="CG5" s="25"/>
      <c r="CH5" s="25" t="s">
        <v>24</v>
      </c>
      <c r="CI5" s="25"/>
      <c r="CJ5" s="25"/>
      <c r="CK5" s="25"/>
      <c r="CL5" s="25" t="s">
        <v>25</v>
      </c>
      <c r="CM5" s="25"/>
      <c r="CN5" s="25"/>
      <c r="CO5" s="25"/>
      <c r="CP5" s="25" t="s">
        <v>26</v>
      </c>
      <c r="CQ5" s="25"/>
      <c r="CR5" s="25"/>
      <c r="CS5" s="25"/>
      <c r="CT5" s="25" t="s">
        <v>27</v>
      </c>
      <c r="CU5" s="25"/>
      <c r="CV5" s="25"/>
      <c r="CW5" s="25"/>
      <c r="CX5" s="25" t="s">
        <v>28</v>
      </c>
      <c r="CY5" s="25"/>
      <c r="CZ5" s="25"/>
      <c r="DA5" s="25"/>
      <c r="DB5" s="25" t="s">
        <v>29</v>
      </c>
      <c r="DC5" s="25"/>
      <c r="DD5" s="25"/>
      <c r="DE5" s="25"/>
      <c r="DF5" s="25" t="s">
        <v>30</v>
      </c>
      <c r="DG5" s="25"/>
      <c r="DH5" s="25"/>
      <c r="DI5" s="25"/>
      <c r="DJ5" s="25" t="s">
        <v>31</v>
      </c>
      <c r="DK5" s="25"/>
      <c r="DL5" s="25"/>
      <c r="DM5" s="25"/>
      <c r="DN5" s="25" t="s">
        <v>32</v>
      </c>
      <c r="DO5" s="25"/>
      <c r="DP5" s="25"/>
      <c r="DQ5" s="25"/>
      <c r="DR5" s="25" t="s">
        <v>33</v>
      </c>
      <c r="DS5" s="25"/>
      <c r="DT5" s="25"/>
      <c r="DU5" s="25"/>
    </row>
    <row r="6" spans="1:132" ht="15.45" customHeight="1">
      <c r="Q6" s="29" t="s">
        <v>34</v>
      </c>
      <c r="R6" s="29"/>
      <c r="S6" s="29"/>
      <c r="T6" s="29"/>
      <c r="U6" s="29"/>
      <c r="V6" s="29"/>
      <c r="W6" s="29"/>
      <c r="X6" s="29"/>
      <c r="Y6" s="30" t="s">
        <v>35</v>
      </c>
      <c r="Z6" s="30"/>
      <c r="AA6" s="30" t="s">
        <v>36</v>
      </c>
      <c r="AB6" s="26" t="s">
        <v>37</v>
      </c>
      <c r="AC6" s="26" t="s">
        <v>38</v>
      </c>
      <c r="AD6" s="17"/>
      <c r="AE6" s="18" t="s">
        <v>39</v>
      </c>
      <c r="AF6" s="17" t="s">
        <v>40</v>
      </c>
      <c r="AG6" s="18" t="s">
        <v>41</v>
      </c>
      <c r="AH6" s="17"/>
      <c r="AI6" s="18" t="s">
        <v>42</v>
      </c>
      <c r="AJ6" s="17" t="s">
        <v>40</v>
      </c>
      <c r="AK6" s="18" t="s">
        <v>43</v>
      </c>
      <c r="AL6" s="17"/>
      <c r="AM6" s="18" t="s">
        <v>44</v>
      </c>
      <c r="AN6" s="17" t="s">
        <v>40</v>
      </c>
      <c r="AO6" s="18" t="s">
        <v>45</v>
      </c>
      <c r="AP6" s="17"/>
      <c r="AQ6" s="18" t="s">
        <v>46</v>
      </c>
      <c r="AR6" s="17" t="s">
        <v>40</v>
      </c>
      <c r="AS6" s="18" t="s">
        <v>47</v>
      </c>
      <c r="AT6" s="17"/>
      <c r="AU6" s="18" t="s">
        <v>48</v>
      </c>
      <c r="AV6" s="17" t="s">
        <v>40</v>
      </c>
      <c r="AW6" s="18" t="s">
        <v>49</v>
      </c>
      <c r="AX6" s="17"/>
      <c r="AY6" s="18" t="s">
        <v>50</v>
      </c>
      <c r="AZ6" s="17" t="s">
        <v>40</v>
      </c>
      <c r="BA6" s="18" t="s">
        <v>51</v>
      </c>
      <c r="BB6" s="17"/>
      <c r="BC6" s="18" t="s">
        <v>52</v>
      </c>
      <c r="BD6" s="17" t="s">
        <v>40</v>
      </c>
      <c r="BE6" s="18" t="s">
        <v>53</v>
      </c>
      <c r="BF6" s="17"/>
      <c r="BG6" s="18" t="s">
        <v>54</v>
      </c>
      <c r="BH6" s="17" t="s">
        <v>40</v>
      </c>
      <c r="BI6" s="18" t="s">
        <v>55</v>
      </c>
      <c r="BJ6" s="17"/>
      <c r="BK6" s="18" t="s">
        <v>56</v>
      </c>
      <c r="BL6" s="17" t="s">
        <v>40</v>
      </c>
      <c r="BM6" s="18" t="s">
        <v>57</v>
      </c>
      <c r="BN6" s="17"/>
      <c r="BO6" s="18" t="s">
        <v>58</v>
      </c>
      <c r="BP6" s="17" t="s">
        <v>40</v>
      </c>
      <c r="BQ6" s="18" t="s">
        <v>59</v>
      </c>
      <c r="BR6" s="17"/>
      <c r="BS6" s="18" t="s">
        <v>60</v>
      </c>
      <c r="BT6" s="17" t="s">
        <v>40</v>
      </c>
      <c r="BU6" s="18" t="s">
        <v>61</v>
      </c>
      <c r="BV6" s="17"/>
      <c r="BW6" s="18" t="s">
        <v>62</v>
      </c>
      <c r="BX6" s="17" t="s">
        <v>40</v>
      </c>
      <c r="BY6" s="18" t="s">
        <v>63</v>
      </c>
      <c r="BZ6" s="17"/>
      <c r="CA6" s="18" t="s">
        <v>64</v>
      </c>
      <c r="CB6" s="17" t="s">
        <v>40</v>
      </c>
      <c r="CC6" s="18" t="s">
        <v>65</v>
      </c>
      <c r="CD6" s="17"/>
      <c r="CE6" s="18" t="s">
        <v>66</v>
      </c>
      <c r="CF6" s="17" t="s">
        <v>40</v>
      </c>
      <c r="CG6" s="18" t="s">
        <v>67</v>
      </c>
      <c r="CH6" s="17"/>
      <c r="CI6" s="18" t="s">
        <v>68</v>
      </c>
      <c r="CJ6" s="17" t="s">
        <v>40</v>
      </c>
      <c r="CK6" s="18" t="s">
        <v>69</v>
      </c>
      <c r="CL6" s="17"/>
      <c r="CM6" s="18" t="s">
        <v>70</v>
      </c>
      <c r="CN6" s="17" t="s">
        <v>40</v>
      </c>
      <c r="CO6" s="18" t="s">
        <v>71</v>
      </c>
      <c r="CP6" s="17"/>
      <c r="CQ6" s="18" t="s">
        <v>72</v>
      </c>
      <c r="CR6" s="17" t="s">
        <v>40</v>
      </c>
      <c r="CS6" s="18" t="s">
        <v>73</v>
      </c>
      <c r="CT6" s="17"/>
      <c r="CU6" s="18" t="s">
        <v>74</v>
      </c>
      <c r="CV6" s="17" t="s">
        <v>40</v>
      </c>
      <c r="CW6" s="18" t="s">
        <v>75</v>
      </c>
      <c r="CX6" s="17"/>
      <c r="CY6" s="18" t="s">
        <v>76</v>
      </c>
      <c r="CZ6" s="17" t="s">
        <v>40</v>
      </c>
      <c r="DA6" s="18" t="s">
        <v>77</v>
      </c>
      <c r="DB6" s="17"/>
      <c r="DC6" s="18" t="s">
        <v>78</v>
      </c>
      <c r="DD6" s="17" t="s">
        <v>40</v>
      </c>
      <c r="DE6" s="18" t="s">
        <v>79</v>
      </c>
      <c r="DF6" s="17"/>
      <c r="DG6" s="18" t="s">
        <v>80</v>
      </c>
      <c r="DH6" s="17" t="s">
        <v>40</v>
      </c>
      <c r="DI6" s="18" t="s">
        <v>81</v>
      </c>
      <c r="DJ6" s="17"/>
      <c r="DK6" s="18" t="s">
        <v>82</v>
      </c>
      <c r="DL6" s="17" t="s">
        <v>40</v>
      </c>
      <c r="DM6" s="18" t="s">
        <v>83</v>
      </c>
      <c r="DN6" s="17"/>
      <c r="DO6" s="18" t="s">
        <v>84</v>
      </c>
      <c r="DP6" s="17" t="s">
        <v>40</v>
      </c>
      <c r="DQ6" s="18" t="s">
        <v>85</v>
      </c>
      <c r="DR6" s="17"/>
      <c r="DS6" s="18" t="s">
        <v>86</v>
      </c>
      <c r="DT6" s="17" t="s">
        <v>40</v>
      </c>
      <c r="DU6" s="18" t="s">
        <v>87</v>
      </c>
    </row>
    <row r="7" spans="1:132" ht="51" customHeight="1">
      <c r="A7" s="12" t="s">
        <v>88</v>
      </c>
      <c r="B7" s="12" t="s">
        <v>89</v>
      </c>
      <c r="C7" s="12" t="s">
        <v>90</v>
      </c>
      <c r="D7" s="12" t="s">
        <v>91</v>
      </c>
      <c r="E7" s="12" t="s">
        <v>92</v>
      </c>
      <c r="F7" s="12" t="s">
        <v>93</v>
      </c>
      <c r="G7" s="12" t="s">
        <v>94</v>
      </c>
      <c r="H7" s="12" t="s">
        <v>95</v>
      </c>
      <c r="I7" s="12" t="s">
        <v>96</v>
      </c>
      <c r="J7" s="12" t="s">
        <v>97</v>
      </c>
      <c r="K7" s="12" t="s">
        <v>98</v>
      </c>
      <c r="L7" s="12" t="s">
        <v>99</v>
      </c>
      <c r="M7" s="12" t="s">
        <v>100</v>
      </c>
      <c r="N7" s="13" t="s">
        <v>101</v>
      </c>
      <c r="O7" s="13" t="s">
        <v>102</v>
      </c>
      <c r="P7" s="13" t="s">
        <v>103</v>
      </c>
      <c r="Q7" s="15" t="s">
        <v>104</v>
      </c>
      <c r="R7" s="15" t="s">
        <v>105</v>
      </c>
      <c r="S7" s="15" t="s">
        <v>106</v>
      </c>
      <c r="T7" s="15" t="s">
        <v>107</v>
      </c>
      <c r="U7" s="14" t="s">
        <v>108</v>
      </c>
      <c r="V7" s="14" t="s">
        <v>109</v>
      </c>
      <c r="W7" s="14" t="s">
        <v>110</v>
      </c>
      <c r="X7" s="14" t="s">
        <v>111</v>
      </c>
      <c r="Y7" s="16" t="s">
        <v>35</v>
      </c>
      <c r="Z7" s="16" t="s">
        <v>112</v>
      </c>
      <c r="AA7" s="30"/>
      <c r="AB7" s="26"/>
      <c r="AC7" s="26"/>
      <c r="AD7" s="11" t="s">
        <v>113</v>
      </c>
      <c r="AE7" s="11" t="s">
        <v>114</v>
      </c>
      <c r="AF7" s="11" t="s">
        <v>115</v>
      </c>
      <c r="AG7" s="11" t="s">
        <v>109</v>
      </c>
      <c r="AH7" s="11" t="s">
        <v>113</v>
      </c>
      <c r="AI7" s="11" t="s">
        <v>114</v>
      </c>
      <c r="AJ7" s="11" t="s">
        <v>115</v>
      </c>
      <c r="AK7" s="11" t="s">
        <v>109</v>
      </c>
      <c r="AL7" s="11" t="s">
        <v>113</v>
      </c>
      <c r="AM7" s="11" t="s">
        <v>114</v>
      </c>
      <c r="AN7" s="11" t="s">
        <v>115</v>
      </c>
      <c r="AO7" s="11" t="s">
        <v>109</v>
      </c>
      <c r="AP7" s="11" t="s">
        <v>113</v>
      </c>
      <c r="AQ7" s="11" t="s">
        <v>114</v>
      </c>
      <c r="AR7" s="11" t="s">
        <v>115</v>
      </c>
      <c r="AS7" s="11" t="s">
        <v>109</v>
      </c>
      <c r="AT7" s="11" t="s">
        <v>113</v>
      </c>
      <c r="AU7" s="11" t="s">
        <v>114</v>
      </c>
      <c r="AV7" s="11" t="s">
        <v>115</v>
      </c>
      <c r="AW7" s="11" t="s">
        <v>109</v>
      </c>
      <c r="AX7" s="11" t="s">
        <v>113</v>
      </c>
      <c r="AY7" s="11" t="s">
        <v>114</v>
      </c>
      <c r="AZ7" s="11" t="s">
        <v>115</v>
      </c>
      <c r="BA7" s="11" t="s">
        <v>109</v>
      </c>
      <c r="BB7" s="11" t="s">
        <v>113</v>
      </c>
      <c r="BC7" s="11" t="s">
        <v>114</v>
      </c>
      <c r="BD7" s="11" t="s">
        <v>115</v>
      </c>
      <c r="BE7" s="11" t="s">
        <v>109</v>
      </c>
      <c r="BF7" s="11" t="s">
        <v>113</v>
      </c>
      <c r="BG7" s="11" t="s">
        <v>114</v>
      </c>
      <c r="BH7" s="11" t="s">
        <v>115</v>
      </c>
      <c r="BI7" s="11" t="s">
        <v>109</v>
      </c>
      <c r="BJ7" s="11" t="s">
        <v>113</v>
      </c>
      <c r="BK7" s="11" t="s">
        <v>114</v>
      </c>
      <c r="BL7" s="11" t="s">
        <v>115</v>
      </c>
      <c r="BM7" s="11" t="s">
        <v>109</v>
      </c>
      <c r="BN7" s="11" t="s">
        <v>113</v>
      </c>
      <c r="BO7" s="11" t="s">
        <v>114</v>
      </c>
      <c r="BP7" s="11" t="s">
        <v>115</v>
      </c>
      <c r="BQ7" s="11" t="s">
        <v>109</v>
      </c>
      <c r="BR7" s="11" t="s">
        <v>113</v>
      </c>
      <c r="BS7" s="11" t="s">
        <v>114</v>
      </c>
      <c r="BT7" s="11" t="s">
        <v>115</v>
      </c>
      <c r="BU7" s="11" t="s">
        <v>109</v>
      </c>
      <c r="BV7" s="11" t="s">
        <v>113</v>
      </c>
      <c r="BW7" s="11" t="s">
        <v>114</v>
      </c>
      <c r="BX7" s="11" t="s">
        <v>115</v>
      </c>
      <c r="BY7" s="11" t="s">
        <v>109</v>
      </c>
      <c r="BZ7" s="11" t="s">
        <v>113</v>
      </c>
      <c r="CA7" s="11" t="s">
        <v>114</v>
      </c>
      <c r="CB7" s="11" t="s">
        <v>115</v>
      </c>
      <c r="CC7" s="11" t="s">
        <v>109</v>
      </c>
      <c r="CD7" s="11" t="s">
        <v>113</v>
      </c>
      <c r="CE7" s="11" t="s">
        <v>114</v>
      </c>
      <c r="CF7" s="11" t="s">
        <v>115</v>
      </c>
      <c r="CG7" s="11" t="s">
        <v>109</v>
      </c>
      <c r="CH7" s="11" t="s">
        <v>113</v>
      </c>
      <c r="CI7" s="11" t="s">
        <v>114</v>
      </c>
      <c r="CJ7" s="11" t="s">
        <v>115</v>
      </c>
      <c r="CK7" s="11" t="s">
        <v>109</v>
      </c>
      <c r="CL7" s="11" t="s">
        <v>113</v>
      </c>
      <c r="CM7" s="11" t="s">
        <v>114</v>
      </c>
      <c r="CN7" s="11" t="s">
        <v>115</v>
      </c>
      <c r="CO7" s="11" t="s">
        <v>109</v>
      </c>
      <c r="CP7" s="11" t="s">
        <v>113</v>
      </c>
      <c r="CQ7" s="11" t="s">
        <v>114</v>
      </c>
      <c r="CR7" s="11" t="s">
        <v>115</v>
      </c>
      <c r="CS7" s="11" t="s">
        <v>109</v>
      </c>
      <c r="CT7" s="11" t="s">
        <v>113</v>
      </c>
      <c r="CU7" s="11" t="s">
        <v>114</v>
      </c>
      <c r="CV7" s="11" t="s">
        <v>115</v>
      </c>
      <c r="CW7" s="11" t="s">
        <v>109</v>
      </c>
      <c r="CX7" s="11" t="s">
        <v>113</v>
      </c>
      <c r="CY7" s="11" t="s">
        <v>114</v>
      </c>
      <c r="CZ7" s="11" t="s">
        <v>115</v>
      </c>
      <c r="DA7" s="11" t="s">
        <v>109</v>
      </c>
      <c r="DB7" s="11" t="s">
        <v>113</v>
      </c>
      <c r="DC7" s="11" t="s">
        <v>114</v>
      </c>
      <c r="DD7" s="11" t="s">
        <v>115</v>
      </c>
      <c r="DE7" s="11" t="s">
        <v>109</v>
      </c>
      <c r="DF7" s="11" t="s">
        <v>113</v>
      </c>
      <c r="DG7" s="11" t="s">
        <v>114</v>
      </c>
      <c r="DH7" s="11" t="s">
        <v>115</v>
      </c>
      <c r="DI7" s="11" t="s">
        <v>109</v>
      </c>
      <c r="DJ7" s="11" t="s">
        <v>113</v>
      </c>
      <c r="DK7" s="11" t="s">
        <v>114</v>
      </c>
      <c r="DL7" s="11" t="s">
        <v>115</v>
      </c>
      <c r="DM7" s="11" t="s">
        <v>109</v>
      </c>
      <c r="DN7" s="11" t="s">
        <v>113</v>
      </c>
      <c r="DO7" s="11" t="s">
        <v>114</v>
      </c>
      <c r="DP7" s="11" t="s">
        <v>115</v>
      </c>
      <c r="DQ7" s="11" t="s">
        <v>109</v>
      </c>
      <c r="DR7" s="11" t="s">
        <v>113</v>
      </c>
      <c r="DS7" s="11" t="s">
        <v>114</v>
      </c>
      <c r="DT7" s="11" t="s">
        <v>115</v>
      </c>
      <c r="DU7" s="11" t="s">
        <v>109</v>
      </c>
    </row>
    <row r="8" spans="1:132" s="39" customFormat="1">
      <c r="A8" s="31" t="s">
        <v>116</v>
      </c>
      <c r="B8" s="31" t="s">
        <v>117</v>
      </c>
      <c r="C8" s="31" t="s">
        <v>118</v>
      </c>
      <c r="D8" s="31" t="s">
        <v>119</v>
      </c>
      <c r="E8" s="31" t="s">
        <v>120</v>
      </c>
      <c r="F8" s="31" t="s">
        <v>121</v>
      </c>
      <c r="G8" s="31" t="s">
        <v>122</v>
      </c>
      <c r="H8" s="31" t="s">
        <v>123</v>
      </c>
      <c r="I8" s="31" t="s">
        <v>121</v>
      </c>
      <c r="J8" s="31"/>
      <c r="K8" s="31" t="s">
        <v>121</v>
      </c>
      <c r="L8" s="32">
        <v>10</v>
      </c>
      <c r="M8" s="31" t="s">
        <v>124</v>
      </c>
      <c r="N8" s="33"/>
      <c r="O8" s="32"/>
      <c r="P8" s="32"/>
      <c r="Q8" s="32">
        <v>0</v>
      </c>
      <c r="R8" s="32">
        <v>0</v>
      </c>
      <c r="S8" s="32">
        <v>0</v>
      </c>
      <c r="T8" s="32">
        <v>0</v>
      </c>
      <c r="U8" s="32">
        <f t="shared" ref="U8:U17" si="0">Q8-R8+S8-T8</f>
        <v>0</v>
      </c>
      <c r="V8" s="34" t="s">
        <v>125</v>
      </c>
      <c r="W8" s="35"/>
      <c r="X8" s="36" t="s">
        <v>126</v>
      </c>
      <c r="Y8" s="32">
        <v>0</v>
      </c>
      <c r="Z8" s="37">
        <v>0</v>
      </c>
      <c r="AA8" s="32">
        <v>0</v>
      </c>
      <c r="AB8" s="31"/>
      <c r="AC8" s="31"/>
      <c r="AD8" s="32">
        <v>0</v>
      </c>
      <c r="AE8" s="32">
        <v>1973</v>
      </c>
      <c r="AF8" s="32">
        <f>U8+(AD8-0)-(AE8-0)</f>
        <v>-1973</v>
      </c>
      <c r="AG8" s="38" t="s">
        <v>125</v>
      </c>
      <c r="AH8" s="32">
        <v>0</v>
      </c>
      <c r="AI8" s="32">
        <v>9865</v>
      </c>
      <c r="AJ8" s="32">
        <f t="shared" ref="AJ8:AJ14" si="1">AF8+AH8-AI8</f>
        <v>-11838</v>
      </c>
      <c r="AK8" s="38" t="s">
        <v>125</v>
      </c>
      <c r="AL8" s="32">
        <v>0</v>
      </c>
      <c r="AM8" s="32">
        <v>9865</v>
      </c>
      <c r="AN8" s="32">
        <f t="shared" ref="AN8:AN14" si="2">AJ8+AL8-AM8</f>
        <v>-21703</v>
      </c>
      <c r="AO8" s="38" t="s">
        <v>125</v>
      </c>
      <c r="AP8" s="32">
        <v>0</v>
      </c>
      <c r="AQ8" s="32">
        <v>9865</v>
      </c>
      <c r="AR8" s="32">
        <f t="shared" ref="AR8:AR14" si="3">AN8+AP8-AQ8</f>
        <v>-31568</v>
      </c>
      <c r="AS8" s="38" t="s">
        <v>125</v>
      </c>
      <c r="AT8" s="32">
        <v>0</v>
      </c>
      <c r="AU8" s="32">
        <v>8646.4539999999997</v>
      </c>
      <c r="AV8" s="32">
        <f t="shared" ref="AV8:AV14" si="4">AR8+AT8-AU8</f>
        <v>-40214.453999999998</v>
      </c>
      <c r="AW8" s="38" t="s">
        <v>125</v>
      </c>
      <c r="AX8" s="32">
        <v>0</v>
      </c>
      <c r="AY8" s="32">
        <v>8340</v>
      </c>
      <c r="AZ8" s="32">
        <f t="shared" ref="AZ8:AZ14" si="5">AV8+AX8-AY8</f>
        <v>-48554.453999999998</v>
      </c>
      <c r="BA8" s="38" t="s">
        <v>125</v>
      </c>
      <c r="BB8" s="32">
        <v>0</v>
      </c>
      <c r="BC8" s="32">
        <v>8340</v>
      </c>
      <c r="BD8" s="32">
        <f t="shared" ref="BD8:BD14" si="6">AZ8+BB8-BC8</f>
        <v>-56894.453999999998</v>
      </c>
      <c r="BE8" s="38" t="s">
        <v>125</v>
      </c>
      <c r="BF8" s="32">
        <v>0</v>
      </c>
      <c r="BG8" s="32">
        <v>8340</v>
      </c>
      <c r="BH8" s="32">
        <f t="shared" ref="BH8:BH14" si="7">BD8+BF8-BG8</f>
        <v>-65234.453999999998</v>
      </c>
      <c r="BI8" s="38" t="s">
        <v>125</v>
      </c>
      <c r="BJ8" s="32">
        <v>0</v>
      </c>
      <c r="BK8" s="32">
        <v>8870</v>
      </c>
      <c r="BL8" s="32">
        <f t="shared" ref="BL8:BL14" si="8">BH8+BJ8-BK8</f>
        <v>-74104.453999999998</v>
      </c>
      <c r="BM8" s="38" t="s">
        <v>125</v>
      </c>
      <c r="BN8" s="32">
        <v>0</v>
      </c>
      <c r="BO8" s="32">
        <v>10990</v>
      </c>
      <c r="BP8" s="32">
        <f t="shared" ref="BP8:BP14" si="9">BL8+BN8-BO8</f>
        <v>-85094.453999999998</v>
      </c>
      <c r="BQ8" s="38" t="s">
        <v>125</v>
      </c>
      <c r="BR8" s="32">
        <v>0</v>
      </c>
      <c r="BS8" s="32">
        <v>10990</v>
      </c>
      <c r="BT8" s="32">
        <f t="shared" ref="BT8:BT14" si="10">BP8+BR8-BS8</f>
        <v>-96084.453999999998</v>
      </c>
      <c r="BU8" s="38" t="s">
        <v>125</v>
      </c>
      <c r="BV8" s="32">
        <v>0</v>
      </c>
      <c r="BW8" s="32">
        <v>10986.092000000001</v>
      </c>
      <c r="BX8" s="32">
        <f t="shared" ref="BX8:BX14" si="11">BT8+BV8-BW8</f>
        <v>-107070.546</v>
      </c>
      <c r="BY8" s="38" t="s">
        <v>125</v>
      </c>
      <c r="BZ8" s="32">
        <v>0</v>
      </c>
      <c r="CA8" s="32">
        <v>10985</v>
      </c>
      <c r="CB8" s="32">
        <f t="shared" ref="CB8:CB14" si="12">BX8+BZ8-CA8</f>
        <v>-118055.546</v>
      </c>
      <c r="CC8" s="38" t="s">
        <v>125</v>
      </c>
      <c r="CD8" s="32">
        <v>0</v>
      </c>
      <c r="CE8" s="32">
        <v>9965</v>
      </c>
      <c r="CF8" s="32">
        <f t="shared" ref="CF8:CF14" si="13">CB8+CD8-CE8</f>
        <v>-128020.546</v>
      </c>
      <c r="CG8" s="38" t="s">
        <v>125</v>
      </c>
      <c r="CH8" s="32">
        <v>0</v>
      </c>
      <c r="CI8" s="32">
        <v>9965</v>
      </c>
      <c r="CJ8" s="32">
        <f t="shared" ref="CJ8:CJ14" si="14">CF8+CH8-CI8</f>
        <v>-137985.546</v>
      </c>
      <c r="CK8" s="38" t="s">
        <v>125</v>
      </c>
      <c r="CL8" s="32">
        <v>0</v>
      </c>
      <c r="CM8" s="32">
        <v>9965</v>
      </c>
      <c r="CN8" s="32">
        <f t="shared" ref="CN8:CN14" si="15">CJ8+CL8-CM8</f>
        <v>-147950.546</v>
      </c>
      <c r="CO8" s="38" t="s">
        <v>125</v>
      </c>
      <c r="CP8" s="32">
        <v>0</v>
      </c>
      <c r="CQ8" s="32">
        <v>9962.8160000000007</v>
      </c>
      <c r="CR8" s="32">
        <f t="shared" ref="CR8:CR14" si="16">CN8+CP8-CQ8</f>
        <v>-157913.36199999999</v>
      </c>
      <c r="CS8" s="38" t="s">
        <v>125</v>
      </c>
      <c r="CT8" s="32">
        <v>0</v>
      </c>
      <c r="CU8" s="32">
        <v>9333</v>
      </c>
      <c r="CV8" s="32">
        <f t="shared" ref="CV8:CV14" si="17">CR8+CT8-CU8</f>
        <v>-167246.36199999999</v>
      </c>
      <c r="CW8" s="38" t="s">
        <v>125</v>
      </c>
      <c r="CX8" s="32">
        <v>0</v>
      </c>
      <c r="CY8" s="32">
        <v>8915</v>
      </c>
      <c r="CZ8" s="32">
        <f t="shared" ref="CZ8:CZ14" si="18">CV8+CX8-CY8</f>
        <v>-176161.36199999999</v>
      </c>
      <c r="DA8" s="38" t="s">
        <v>125</v>
      </c>
      <c r="DB8" s="32">
        <v>0</v>
      </c>
      <c r="DC8" s="32">
        <v>8914.3619999999992</v>
      </c>
      <c r="DD8" s="32">
        <f t="shared" ref="DD8:DD14" si="19">CZ8+DB8-DC8</f>
        <v>-185075.72399999999</v>
      </c>
      <c r="DE8" s="38" t="s">
        <v>125</v>
      </c>
      <c r="DF8" s="32">
        <v>0</v>
      </c>
      <c r="DG8" s="32">
        <v>8910</v>
      </c>
      <c r="DH8" s="32">
        <f t="shared" ref="DH8:DH14" si="20">DD8+DF8-DG8</f>
        <v>-193985.72399999999</v>
      </c>
      <c r="DI8" s="38" t="s">
        <v>125</v>
      </c>
      <c r="DJ8" s="32">
        <v>0</v>
      </c>
      <c r="DK8" s="32">
        <v>7128</v>
      </c>
      <c r="DL8" s="32">
        <f t="shared" ref="DL8:DL14" si="21">DH8+DJ8-DK8</f>
        <v>-201113.72399999999</v>
      </c>
      <c r="DM8" s="38" t="s">
        <v>125</v>
      </c>
      <c r="DN8" s="32">
        <v>0</v>
      </c>
      <c r="DO8" s="32" t="s">
        <v>5</v>
      </c>
      <c r="DP8" s="32" t="s">
        <v>127</v>
      </c>
      <c r="DQ8" s="32" t="s">
        <v>127</v>
      </c>
      <c r="DR8" s="32">
        <v>0</v>
      </c>
      <c r="DS8" s="32" t="s">
        <v>5</v>
      </c>
      <c r="DT8" s="32" t="s">
        <v>127</v>
      </c>
      <c r="DU8" s="32" t="s">
        <v>127</v>
      </c>
      <c r="DW8" s="32">
        <v>0</v>
      </c>
      <c r="DX8" s="32">
        <v>10</v>
      </c>
      <c r="DY8" s="32"/>
      <c r="DZ8" s="32"/>
      <c r="EA8" s="32">
        <v>9</v>
      </c>
      <c r="EB8" s="32">
        <v>20</v>
      </c>
    </row>
    <row r="9" spans="1:132" s="48" customFormat="1">
      <c r="A9" s="40" t="s">
        <v>128</v>
      </c>
      <c r="B9" s="40" t="s">
        <v>129</v>
      </c>
      <c r="C9" s="40" t="s">
        <v>118</v>
      </c>
      <c r="D9" s="40" t="s">
        <v>130</v>
      </c>
      <c r="E9" s="40" t="s">
        <v>120</v>
      </c>
      <c r="F9" s="40" t="s">
        <v>131</v>
      </c>
      <c r="G9" s="40" t="s">
        <v>122</v>
      </c>
      <c r="H9" s="40" t="s">
        <v>123</v>
      </c>
      <c r="I9" s="40" t="s">
        <v>121</v>
      </c>
      <c r="J9" s="40"/>
      <c r="K9" s="40" t="s">
        <v>121</v>
      </c>
      <c r="L9" s="41">
        <v>10</v>
      </c>
      <c r="M9" s="40" t="s">
        <v>124</v>
      </c>
      <c r="N9" s="42"/>
      <c r="O9" s="41"/>
      <c r="P9" s="41"/>
      <c r="Q9" s="41">
        <v>0</v>
      </c>
      <c r="R9" s="41">
        <v>0</v>
      </c>
      <c r="S9" s="41">
        <v>0</v>
      </c>
      <c r="T9" s="41">
        <v>0</v>
      </c>
      <c r="U9" s="41">
        <f t="shared" si="0"/>
        <v>0</v>
      </c>
      <c r="V9" s="43" t="s">
        <v>125</v>
      </c>
      <c r="W9" s="44"/>
      <c r="X9" s="45" t="s">
        <v>126</v>
      </c>
      <c r="Y9" s="41">
        <v>0</v>
      </c>
      <c r="Z9" s="46">
        <v>0</v>
      </c>
      <c r="AA9" s="41">
        <v>0</v>
      </c>
      <c r="AB9" s="40"/>
      <c r="AC9" s="40"/>
      <c r="AD9" s="41">
        <v>0</v>
      </c>
      <c r="AE9" s="41">
        <v>1521</v>
      </c>
      <c r="AF9" s="41">
        <f>U9+(AD9-0)-(AE9-0)</f>
        <v>-1521</v>
      </c>
      <c r="AG9" s="47" t="s">
        <v>125</v>
      </c>
      <c r="AH9" s="41">
        <v>0</v>
      </c>
      <c r="AI9" s="41">
        <v>7605</v>
      </c>
      <c r="AJ9" s="41">
        <f t="shared" si="1"/>
        <v>-9126</v>
      </c>
      <c r="AK9" s="47" t="s">
        <v>125</v>
      </c>
      <c r="AL9" s="41">
        <v>0</v>
      </c>
      <c r="AM9" s="41">
        <v>7603.6379999999999</v>
      </c>
      <c r="AN9" s="41">
        <f t="shared" si="2"/>
        <v>-16729.637999999999</v>
      </c>
      <c r="AO9" s="47" t="s">
        <v>125</v>
      </c>
      <c r="AP9" s="41">
        <v>0</v>
      </c>
      <c r="AQ9" s="41">
        <v>7600</v>
      </c>
      <c r="AR9" s="41">
        <f t="shared" si="3"/>
        <v>-24329.637999999999</v>
      </c>
      <c r="AS9" s="47" t="s">
        <v>125</v>
      </c>
      <c r="AT9" s="41">
        <v>0</v>
      </c>
      <c r="AU9" s="41">
        <v>6540.4539999999997</v>
      </c>
      <c r="AV9" s="41">
        <f t="shared" si="4"/>
        <v>-30870.091999999997</v>
      </c>
      <c r="AW9" s="47" t="s">
        <v>125</v>
      </c>
      <c r="AX9" s="41">
        <v>0</v>
      </c>
      <c r="AY9" s="41">
        <v>6275</v>
      </c>
      <c r="AZ9" s="41">
        <f t="shared" si="5"/>
        <v>-37145.091999999997</v>
      </c>
      <c r="BA9" s="47" t="s">
        <v>125</v>
      </c>
      <c r="BB9" s="41">
        <v>0</v>
      </c>
      <c r="BC9" s="41">
        <v>6275</v>
      </c>
      <c r="BD9" s="41">
        <f t="shared" si="6"/>
        <v>-43420.091999999997</v>
      </c>
      <c r="BE9" s="47" t="s">
        <v>125</v>
      </c>
      <c r="BF9" s="41">
        <v>0</v>
      </c>
      <c r="BG9" s="41">
        <v>6275</v>
      </c>
      <c r="BH9" s="41">
        <f t="shared" si="7"/>
        <v>-49695.091999999997</v>
      </c>
      <c r="BI9" s="47" t="s">
        <v>125</v>
      </c>
      <c r="BJ9" s="41">
        <v>0</v>
      </c>
      <c r="BK9" s="41">
        <v>6766</v>
      </c>
      <c r="BL9" s="41">
        <f t="shared" si="8"/>
        <v>-56461.091999999997</v>
      </c>
      <c r="BM9" s="47" t="s">
        <v>125</v>
      </c>
      <c r="BN9" s="41">
        <v>0</v>
      </c>
      <c r="BO9" s="41">
        <v>8728.0920000000006</v>
      </c>
      <c r="BP9" s="41">
        <f t="shared" si="9"/>
        <v>-65189.183999999994</v>
      </c>
      <c r="BQ9" s="47" t="s">
        <v>125</v>
      </c>
      <c r="BR9" s="41">
        <v>0</v>
      </c>
      <c r="BS9" s="41">
        <v>8725</v>
      </c>
      <c r="BT9" s="41">
        <f t="shared" si="10"/>
        <v>-73914.183999999994</v>
      </c>
      <c r="BU9" s="47" t="s">
        <v>125</v>
      </c>
      <c r="BV9" s="41">
        <v>0</v>
      </c>
      <c r="BW9" s="41">
        <v>8725</v>
      </c>
      <c r="BX9" s="41">
        <f t="shared" si="11"/>
        <v>-82639.183999999994</v>
      </c>
      <c r="BY9" s="47" t="s">
        <v>125</v>
      </c>
      <c r="BZ9" s="41">
        <v>0</v>
      </c>
      <c r="CA9" s="41">
        <v>8725</v>
      </c>
      <c r="CB9" s="41">
        <f t="shared" si="12"/>
        <v>-91364.183999999994</v>
      </c>
      <c r="CC9" s="47" t="s">
        <v>125</v>
      </c>
      <c r="CD9" s="41">
        <v>0</v>
      </c>
      <c r="CE9" s="41">
        <v>7805</v>
      </c>
      <c r="CF9" s="41">
        <f t="shared" si="13"/>
        <v>-99169.183999999994</v>
      </c>
      <c r="CG9" s="47" t="s">
        <v>125</v>
      </c>
      <c r="CH9" s="41">
        <v>0</v>
      </c>
      <c r="CI9" s="41">
        <v>7805</v>
      </c>
      <c r="CJ9" s="41">
        <f t="shared" si="14"/>
        <v>-106974.18399999999</v>
      </c>
      <c r="CK9" s="47" t="s">
        <v>125</v>
      </c>
      <c r="CL9" s="41">
        <v>0</v>
      </c>
      <c r="CM9" s="41">
        <v>7805</v>
      </c>
      <c r="CN9" s="41">
        <f t="shared" si="15"/>
        <v>-114779.18399999999</v>
      </c>
      <c r="CO9" s="47" t="s">
        <v>125</v>
      </c>
      <c r="CP9" s="41">
        <v>0</v>
      </c>
      <c r="CQ9" s="41">
        <v>7805</v>
      </c>
      <c r="CR9" s="41">
        <f t="shared" si="16"/>
        <v>-122584.18399999999</v>
      </c>
      <c r="CS9" s="47" t="s">
        <v>125</v>
      </c>
      <c r="CT9" s="41">
        <v>0</v>
      </c>
      <c r="CU9" s="41">
        <v>7174.8159999999998</v>
      </c>
      <c r="CV9" s="41">
        <f t="shared" si="17"/>
        <v>-129759</v>
      </c>
      <c r="CW9" s="47" t="s">
        <v>125</v>
      </c>
      <c r="CX9" s="41">
        <v>0</v>
      </c>
      <c r="CY9" s="41">
        <v>6755</v>
      </c>
      <c r="CZ9" s="41">
        <f t="shared" si="18"/>
        <v>-136514</v>
      </c>
      <c r="DA9" s="47" t="s">
        <v>125</v>
      </c>
      <c r="DB9" s="41">
        <v>0</v>
      </c>
      <c r="DC9" s="41">
        <v>6755</v>
      </c>
      <c r="DD9" s="41">
        <f t="shared" si="19"/>
        <v>-143269</v>
      </c>
      <c r="DE9" s="47" t="s">
        <v>125</v>
      </c>
      <c r="DF9" s="41">
        <v>0</v>
      </c>
      <c r="DG9" s="41">
        <v>6753.3620000000001</v>
      </c>
      <c r="DH9" s="41">
        <f t="shared" si="20"/>
        <v>-150022.36199999999</v>
      </c>
      <c r="DI9" s="47" t="s">
        <v>125</v>
      </c>
      <c r="DJ9" s="41">
        <v>0</v>
      </c>
      <c r="DK9" s="41">
        <v>5400</v>
      </c>
      <c r="DL9" s="41">
        <f t="shared" si="21"/>
        <v>-155422.36199999999</v>
      </c>
      <c r="DM9" s="47" t="s">
        <v>125</v>
      </c>
      <c r="DN9" s="41">
        <v>0</v>
      </c>
      <c r="DO9" s="41" t="s">
        <v>5</v>
      </c>
      <c r="DP9" s="41" t="s">
        <v>127</v>
      </c>
      <c r="DQ9" s="41" t="s">
        <v>127</v>
      </c>
      <c r="DR9" s="41">
        <v>0</v>
      </c>
      <c r="DS9" s="41" t="s">
        <v>5</v>
      </c>
      <c r="DT9" s="41" t="s">
        <v>127</v>
      </c>
      <c r="DU9" s="41" t="s">
        <v>127</v>
      </c>
      <c r="DW9" s="41">
        <v>0</v>
      </c>
      <c r="DX9" s="41">
        <v>10</v>
      </c>
      <c r="DY9" s="41"/>
      <c r="DZ9" s="41"/>
      <c r="EA9" s="41">
        <v>9</v>
      </c>
      <c r="EB9" s="41">
        <v>20</v>
      </c>
    </row>
    <row r="10" spans="1:132" s="57" customFormat="1">
      <c r="A10" s="49" t="s">
        <v>132</v>
      </c>
      <c r="B10" s="49" t="s">
        <v>133</v>
      </c>
      <c r="C10" s="49" t="s">
        <v>118</v>
      </c>
      <c r="D10" s="49" t="s">
        <v>134</v>
      </c>
      <c r="E10" s="49" t="s">
        <v>120</v>
      </c>
      <c r="F10" s="49" t="s">
        <v>135</v>
      </c>
      <c r="G10" s="49" t="s">
        <v>136</v>
      </c>
      <c r="H10" s="49" t="s">
        <v>137</v>
      </c>
      <c r="I10" s="49" t="s">
        <v>121</v>
      </c>
      <c r="J10" s="49"/>
      <c r="K10" s="49" t="s">
        <v>121</v>
      </c>
      <c r="L10" s="50">
        <v>20</v>
      </c>
      <c r="M10" s="49" t="s">
        <v>124</v>
      </c>
      <c r="N10" s="51"/>
      <c r="O10" s="50"/>
      <c r="P10" s="50"/>
      <c r="Q10" s="50">
        <v>0</v>
      </c>
      <c r="R10" s="50">
        <v>0</v>
      </c>
      <c r="S10" s="50">
        <v>0</v>
      </c>
      <c r="T10" s="50">
        <v>0</v>
      </c>
      <c r="U10" s="50">
        <f t="shared" si="0"/>
        <v>0</v>
      </c>
      <c r="V10" s="52" t="s">
        <v>125</v>
      </c>
      <c r="W10" s="53"/>
      <c r="X10" s="54" t="s">
        <v>126</v>
      </c>
      <c r="Y10" s="50">
        <v>0</v>
      </c>
      <c r="Z10" s="55">
        <v>0</v>
      </c>
      <c r="AA10" s="50">
        <v>0</v>
      </c>
      <c r="AB10" s="49"/>
      <c r="AC10" s="49"/>
      <c r="AD10" s="50">
        <v>0</v>
      </c>
      <c r="AE10" s="50">
        <v>1141</v>
      </c>
      <c r="AF10" s="50">
        <f>U10+(AD10-0)-(AE10-0)</f>
        <v>-1141</v>
      </c>
      <c r="AG10" s="56" t="s">
        <v>125</v>
      </c>
      <c r="AH10" s="50">
        <v>0</v>
      </c>
      <c r="AI10" s="50">
        <v>5705</v>
      </c>
      <c r="AJ10" s="50">
        <f t="shared" si="1"/>
        <v>-6846</v>
      </c>
      <c r="AK10" s="56" t="s">
        <v>125</v>
      </c>
      <c r="AL10" s="50">
        <v>0</v>
      </c>
      <c r="AM10" s="50">
        <v>5705</v>
      </c>
      <c r="AN10" s="50">
        <f t="shared" si="2"/>
        <v>-12551</v>
      </c>
      <c r="AO10" s="56" t="s">
        <v>125</v>
      </c>
      <c r="AP10" s="50">
        <v>0</v>
      </c>
      <c r="AQ10" s="50">
        <v>5705</v>
      </c>
      <c r="AR10" s="50">
        <f t="shared" si="3"/>
        <v>-18256</v>
      </c>
      <c r="AS10" s="56" t="s">
        <v>125</v>
      </c>
      <c r="AT10" s="50">
        <v>0</v>
      </c>
      <c r="AU10" s="50">
        <v>4865</v>
      </c>
      <c r="AV10" s="50">
        <f t="shared" si="4"/>
        <v>-23121</v>
      </c>
      <c r="AW10" s="56" t="s">
        <v>125</v>
      </c>
      <c r="AX10" s="50">
        <v>0</v>
      </c>
      <c r="AY10" s="50">
        <v>4655</v>
      </c>
      <c r="AZ10" s="50">
        <f t="shared" si="5"/>
        <v>-27776</v>
      </c>
      <c r="BA10" s="56" t="s">
        <v>125</v>
      </c>
      <c r="BB10" s="50">
        <v>0</v>
      </c>
      <c r="BC10" s="50">
        <v>4655</v>
      </c>
      <c r="BD10" s="50">
        <f t="shared" si="6"/>
        <v>-32431</v>
      </c>
      <c r="BE10" s="56" t="s">
        <v>125</v>
      </c>
      <c r="BF10" s="50">
        <v>0</v>
      </c>
      <c r="BG10" s="50">
        <v>4650.5450000000001</v>
      </c>
      <c r="BH10" s="50">
        <f t="shared" si="7"/>
        <v>-37081.544999999998</v>
      </c>
      <c r="BI10" s="56" t="s">
        <v>125</v>
      </c>
      <c r="BJ10" s="50">
        <v>0</v>
      </c>
      <c r="BK10" s="50">
        <v>5049</v>
      </c>
      <c r="BL10" s="50">
        <f t="shared" si="8"/>
        <v>-42130.544999999998</v>
      </c>
      <c r="BM10" s="56" t="s">
        <v>125</v>
      </c>
      <c r="BN10" s="50">
        <v>0</v>
      </c>
      <c r="BO10" s="50">
        <v>6641.91</v>
      </c>
      <c r="BP10" s="50">
        <f t="shared" si="9"/>
        <v>-48772.455000000002</v>
      </c>
      <c r="BQ10" s="56" t="s">
        <v>125</v>
      </c>
      <c r="BR10" s="50">
        <v>0</v>
      </c>
      <c r="BS10" s="50">
        <v>6640</v>
      </c>
      <c r="BT10" s="50">
        <f t="shared" si="10"/>
        <v>-55412.455000000002</v>
      </c>
      <c r="BU10" s="56" t="s">
        <v>125</v>
      </c>
      <c r="BV10" s="50">
        <v>0</v>
      </c>
      <c r="BW10" s="50">
        <v>6640</v>
      </c>
      <c r="BX10" s="50">
        <f t="shared" si="11"/>
        <v>-62052.455000000002</v>
      </c>
      <c r="BY10" s="56" t="s">
        <v>125</v>
      </c>
      <c r="BZ10" s="50">
        <v>0</v>
      </c>
      <c r="CA10" s="50">
        <v>6640</v>
      </c>
      <c r="CB10" s="50">
        <f t="shared" si="12"/>
        <v>-68692.455000000002</v>
      </c>
      <c r="CC10" s="56" t="s">
        <v>125</v>
      </c>
      <c r="CD10" s="50">
        <v>0</v>
      </c>
      <c r="CE10" s="50">
        <v>5905</v>
      </c>
      <c r="CF10" s="50">
        <f t="shared" si="13"/>
        <v>-74597.455000000002</v>
      </c>
      <c r="CG10" s="56" t="s">
        <v>125</v>
      </c>
      <c r="CH10" s="50">
        <v>0</v>
      </c>
      <c r="CI10" s="50">
        <v>5903.18</v>
      </c>
      <c r="CJ10" s="50">
        <f t="shared" si="14"/>
        <v>-80500.635000000009</v>
      </c>
      <c r="CK10" s="56" t="s">
        <v>125</v>
      </c>
      <c r="CL10" s="50">
        <v>0</v>
      </c>
      <c r="CM10" s="50">
        <v>5900</v>
      </c>
      <c r="CN10" s="50">
        <f t="shared" si="15"/>
        <v>-86400.635000000009</v>
      </c>
      <c r="CO10" s="56" t="s">
        <v>125</v>
      </c>
      <c r="CP10" s="50">
        <v>0</v>
      </c>
      <c r="CQ10" s="50">
        <v>5900</v>
      </c>
      <c r="CR10" s="50">
        <f t="shared" si="16"/>
        <v>-92300.635000000009</v>
      </c>
      <c r="CS10" s="56" t="s">
        <v>125</v>
      </c>
      <c r="CT10" s="50">
        <v>0</v>
      </c>
      <c r="CU10" s="50">
        <v>5378</v>
      </c>
      <c r="CV10" s="50">
        <f t="shared" si="17"/>
        <v>-97678.635000000009</v>
      </c>
      <c r="CW10" s="56" t="s">
        <v>125</v>
      </c>
      <c r="CX10" s="50">
        <v>0</v>
      </c>
      <c r="CY10" s="50">
        <v>5025.6350000000002</v>
      </c>
      <c r="CZ10" s="50">
        <f t="shared" si="18"/>
        <v>-102704.27</v>
      </c>
      <c r="DA10" s="56" t="s">
        <v>125</v>
      </c>
      <c r="DB10" s="50">
        <v>0</v>
      </c>
      <c r="DC10" s="50">
        <v>5025</v>
      </c>
      <c r="DD10" s="50">
        <f t="shared" si="19"/>
        <v>-107729.27</v>
      </c>
      <c r="DE10" s="56" t="s">
        <v>125</v>
      </c>
      <c r="DF10" s="50">
        <v>0</v>
      </c>
      <c r="DG10" s="50">
        <v>5025</v>
      </c>
      <c r="DH10" s="50">
        <f t="shared" si="20"/>
        <v>-112754.27</v>
      </c>
      <c r="DI10" s="56" t="s">
        <v>125</v>
      </c>
      <c r="DJ10" s="50">
        <v>0</v>
      </c>
      <c r="DK10" s="50">
        <v>4020</v>
      </c>
      <c r="DL10" s="50">
        <f t="shared" si="21"/>
        <v>-116774.27</v>
      </c>
      <c r="DM10" s="56" t="s">
        <v>125</v>
      </c>
      <c r="DN10" s="50">
        <v>0</v>
      </c>
      <c r="DO10" s="50" t="s">
        <v>5</v>
      </c>
      <c r="DP10" s="50" t="s">
        <v>127</v>
      </c>
      <c r="DQ10" s="50" t="s">
        <v>127</v>
      </c>
      <c r="DR10" s="50">
        <v>0</v>
      </c>
      <c r="DS10" s="50" t="s">
        <v>5</v>
      </c>
      <c r="DT10" s="50" t="s">
        <v>127</v>
      </c>
      <c r="DU10" s="50" t="s">
        <v>127</v>
      </c>
      <c r="DW10" s="50">
        <v>0</v>
      </c>
      <c r="DX10" s="50">
        <v>20</v>
      </c>
      <c r="DY10" s="50"/>
      <c r="DZ10" s="50"/>
      <c r="EA10" s="50">
        <v>9</v>
      </c>
      <c r="EB10" s="50">
        <v>20</v>
      </c>
    </row>
    <row r="11" spans="1:132" s="66" customFormat="1">
      <c r="A11" s="58" t="s">
        <v>138</v>
      </c>
      <c r="B11" s="58" t="s">
        <v>139</v>
      </c>
      <c r="C11" s="58" t="s">
        <v>118</v>
      </c>
      <c r="D11" s="58" t="s">
        <v>140</v>
      </c>
      <c r="E11" s="58" t="s">
        <v>120</v>
      </c>
      <c r="F11" s="58" t="s">
        <v>141</v>
      </c>
      <c r="G11" s="58" t="s">
        <v>136</v>
      </c>
      <c r="H11" s="58" t="s">
        <v>137</v>
      </c>
      <c r="I11" s="58" t="s">
        <v>121</v>
      </c>
      <c r="J11" s="58"/>
      <c r="K11" s="58" t="s">
        <v>121</v>
      </c>
      <c r="L11" s="59">
        <v>6000</v>
      </c>
      <c r="M11" s="58" t="s">
        <v>124</v>
      </c>
      <c r="N11" s="60"/>
      <c r="O11" s="59"/>
      <c r="P11" s="59"/>
      <c r="Q11" s="59">
        <v>0</v>
      </c>
      <c r="R11" s="59">
        <v>0</v>
      </c>
      <c r="S11" s="59">
        <v>0</v>
      </c>
      <c r="T11" s="59">
        <v>0</v>
      </c>
      <c r="U11" s="59">
        <f t="shared" si="0"/>
        <v>0</v>
      </c>
      <c r="V11" s="61" t="s">
        <v>125</v>
      </c>
      <c r="W11" s="62"/>
      <c r="X11" s="63" t="s">
        <v>126</v>
      </c>
      <c r="Y11" s="59">
        <v>0</v>
      </c>
      <c r="Z11" s="64">
        <v>0</v>
      </c>
      <c r="AA11" s="59">
        <v>0</v>
      </c>
      <c r="AB11" s="58"/>
      <c r="AC11" s="58"/>
      <c r="AD11" s="59">
        <v>0</v>
      </c>
      <c r="AE11" s="59">
        <v>874</v>
      </c>
      <c r="AF11" s="59">
        <f>U11+(AD11-0)-(AE11-0)</f>
        <v>-874</v>
      </c>
      <c r="AG11" s="65" t="s">
        <v>125</v>
      </c>
      <c r="AH11" s="59">
        <v>0</v>
      </c>
      <c r="AI11" s="59">
        <v>4366.0919999999996</v>
      </c>
      <c r="AJ11" s="59">
        <f t="shared" si="1"/>
        <v>-5240.0919999999996</v>
      </c>
      <c r="AK11" s="65" t="s">
        <v>125</v>
      </c>
      <c r="AL11" s="59">
        <v>0</v>
      </c>
      <c r="AM11" s="59">
        <v>4365</v>
      </c>
      <c r="AN11" s="59">
        <f t="shared" si="2"/>
        <v>-9605.0920000000006</v>
      </c>
      <c r="AO11" s="65" t="s">
        <v>125</v>
      </c>
      <c r="AP11" s="59">
        <v>0</v>
      </c>
      <c r="AQ11" s="59">
        <v>4365</v>
      </c>
      <c r="AR11" s="59">
        <f t="shared" si="3"/>
        <v>-13970.092000000001</v>
      </c>
      <c r="AS11" s="65" t="s">
        <v>125</v>
      </c>
      <c r="AT11" s="59">
        <v>0</v>
      </c>
      <c r="AU11" s="59">
        <v>3709</v>
      </c>
      <c r="AV11" s="59">
        <f t="shared" si="4"/>
        <v>-17679.092000000001</v>
      </c>
      <c r="AW11" s="65" t="s">
        <v>125</v>
      </c>
      <c r="AX11" s="59">
        <v>0</v>
      </c>
      <c r="AY11" s="59">
        <v>3545</v>
      </c>
      <c r="AZ11" s="59">
        <f t="shared" si="5"/>
        <v>-21224.092000000001</v>
      </c>
      <c r="BA11" s="65" t="s">
        <v>125</v>
      </c>
      <c r="BB11" s="59">
        <v>0</v>
      </c>
      <c r="BC11" s="59">
        <v>3540.636</v>
      </c>
      <c r="BD11" s="59">
        <f t="shared" si="6"/>
        <v>-24764.727999999999</v>
      </c>
      <c r="BE11" s="65" t="s">
        <v>125</v>
      </c>
      <c r="BF11" s="59">
        <v>0</v>
      </c>
      <c r="BG11" s="59">
        <v>3540</v>
      </c>
      <c r="BH11" s="59">
        <f t="shared" si="7"/>
        <v>-28304.727999999999</v>
      </c>
      <c r="BI11" s="65" t="s">
        <v>125</v>
      </c>
      <c r="BJ11" s="59">
        <v>0</v>
      </c>
      <c r="BK11" s="59">
        <v>3855</v>
      </c>
      <c r="BL11" s="59">
        <f t="shared" si="8"/>
        <v>-32159.727999999999</v>
      </c>
      <c r="BM11" s="65" t="s">
        <v>125</v>
      </c>
      <c r="BN11" s="59">
        <v>0</v>
      </c>
      <c r="BO11" s="59">
        <v>5115</v>
      </c>
      <c r="BP11" s="59">
        <f t="shared" si="9"/>
        <v>-37274.728000000003</v>
      </c>
      <c r="BQ11" s="65" t="s">
        <v>125</v>
      </c>
      <c r="BR11" s="59">
        <v>0</v>
      </c>
      <c r="BS11" s="59">
        <v>5115</v>
      </c>
      <c r="BT11" s="59">
        <f t="shared" si="10"/>
        <v>-42389.728000000003</v>
      </c>
      <c r="BU11" s="65" t="s">
        <v>125</v>
      </c>
      <c r="BV11" s="59">
        <v>0</v>
      </c>
      <c r="BW11" s="59">
        <v>5115</v>
      </c>
      <c r="BX11" s="59">
        <f t="shared" si="11"/>
        <v>-47504.728000000003</v>
      </c>
      <c r="BY11" s="65" t="s">
        <v>125</v>
      </c>
      <c r="BZ11" s="59">
        <v>0</v>
      </c>
      <c r="CA11" s="59">
        <v>5114.7280000000001</v>
      </c>
      <c r="CB11" s="59">
        <f t="shared" si="12"/>
        <v>-52619.456000000006</v>
      </c>
      <c r="CC11" s="65" t="s">
        <v>125</v>
      </c>
      <c r="CD11" s="59">
        <v>0</v>
      </c>
      <c r="CE11" s="59">
        <v>4535</v>
      </c>
      <c r="CF11" s="59">
        <f t="shared" si="13"/>
        <v>-57154.456000000006</v>
      </c>
      <c r="CG11" s="65" t="s">
        <v>125</v>
      </c>
      <c r="CH11" s="59">
        <v>0</v>
      </c>
      <c r="CI11" s="59">
        <v>4535</v>
      </c>
      <c r="CJ11" s="59">
        <f t="shared" si="14"/>
        <v>-61689.456000000006</v>
      </c>
      <c r="CK11" s="65" t="s">
        <v>125</v>
      </c>
      <c r="CL11" s="59">
        <v>0</v>
      </c>
      <c r="CM11" s="59">
        <v>4532.5439999999999</v>
      </c>
      <c r="CN11" s="59">
        <f t="shared" si="15"/>
        <v>-66222</v>
      </c>
      <c r="CO11" s="65" t="s">
        <v>125</v>
      </c>
      <c r="CP11" s="59">
        <v>0</v>
      </c>
      <c r="CQ11" s="59">
        <v>4530</v>
      </c>
      <c r="CR11" s="59">
        <f t="shared" si="16"/>
        <v>-70752</v>
      </c>
      <c r="CS11" s="65" t="s">
        <v>125</v>
      </c>
      <c r="CT11" s="59">
        <v>0</v>
      </c>
      <c r="CU11" s="59">
        <v>4113</v>
      </c>
      <c r="CV11" s="59">
        <f t="shared" si="17"/>
        <v>-74865</v>
      </c>
      <c r="CW11" s="65" t="s">
        <v>125</v>
      </c>
      <c r="CX11" s="59">
        <v>0</v>
      </c>
      <c r="CY11" s="59">
        <v>3835</v>
      </c>
      <c r="CZ11" s="59">
        <f t="shared" si="18"/>
        <v>-78700</v>
      </c>
      <c r="DA11" s="65" t="s">
        <v>125</v>
      </c>
      <c r="DB11" s="59">
        <v>0</v>
      </c>
      <c r="DC11" s="59">
        <v>3830.9079999999999</v>
      </c>
      <c r="DD11" s="59">
        <f t="shared" si="19"/>
        <v>-82530.907999999996</v>
      </c>
      <c r="DE11" s="65" t="s">
        <v>125</v>
      </c>
      <c r="DF11" s="59">
        <v>0</v>
      </c>
      <c r="DG11" s="59">
        <v>3830</v>
      </c>
      <c r="DH11" s="59">
        <f t="shared" si="20"/>
        <v>-86360.907999999996</v>
      </c>
      <c r="DI11" s="65" t="s">
        <v>125</v>
      </c>
      <c r="DJ11" s="59">
        <v>0</v>
      </c>
      <c r="DK11" s="59">
        <v>3064</v>
      </c>
      <c r="DL11" s="59">
        <f t="shared" si="21"/>
        <v>-89424.907999999996</v>
      </c>
      <c r="DM11" s="65" t="s">
        <v>125</v>
      </c>
      <c r="DN11" s="59">
        <v>0</v>
      </c>
      <c r="DO11" s="59" t="s">
        <v>5</v>
      </c>
      <c r="DP11" s="59" t="s">
        <v>127</v>
      </c>
      <c r="DQ11" s="59" t="s">
        <v>127</v>
      </c>
      <c r="DR11" s="59">
        <v>0</v>
      </c>
      <c r="DS11" s="59" t="s">
        <v>5</v>
      </c>
      <c r="DT11" s="59" t="s">
        <v>127</v>
      </c>
      <c r="DU11" s="59" t="s">
        <v>127</v>
      </c>
      <c r="DW11" s="59">
        <v>0</v>
      </c>
      <c r="DX11" s="59">
        <v>6000</v>
      </c>
      <c r="DY11" s="59"/>
      <c r="DZ11" s="59"/>
      <c r="EA11" s="59">
        <v>9</v>
      </c>
      <c r="EB11" s="59">
        <v>20</v>
      </c>
    </row>
    <row r="12" spans="1:132" s="75" customFormat="1">
      <c r="A12" s="67" t="s">
        <v>142</v>
      </c>
      <c r="B12" s="67" t="s">
        <v>143</v>
      </c>
      <c r="C12" s="67" t="s">
        <v>118</v>
      </c>
      <c r="D12" s="67" t="s">
        <v>144</v>
      </c>
      <c r="E12" s="67" t="s">
        <v>120</v>
      </c>
      <c r="F12" s="67" t="s">
        <v>145</v>
      </c>
      <c r="G12" s="67" t="s">
        <v>136</v>
      </c>
      <c r="H12" s="67" t="s">
        <v>137</v>
      </c>
      <c r="I12" s="67" t="s">
        <v>121</v>
      </c>
      <c r="J12" s="67"/>
      <c r="K12" s="67" t="s">
        <v>121</v>
      </c>
      <c r="L12" s="68">
        <v>1500</v>
      </c>
      <c r="M12" s="67" t="s">
        <v>124</v>
      </c>
      <c r="N12" s="69"/>
      <c r="O12" s="68"/>
      <c r="P12" s="68"/>
      <c r="Q12" s="68">
        <v>0</v>
      </c>
      <c r="R12" s="68">
        <v>0</v>
      </c>
      <c r="S12" s="68">
        <v>0</v>
      </c>
      <c r="T12" s="68">
        <v>0</v>
      </c>
      <c r="U12" s="68">
        <f t="shared" si="0"/>
        <v>0</v>
      </c>
      <c r="V12" s="70" t="s">
        <v>125</v>
      </c>
      <c r="W12" s="71"/>
      <c r="X12" s="72" t="s">
        <v>126</v>
      </c>
      <c r="Y12" s="68">
        <v>0</v>
      </c>
      <c r="Z12" s="73">
        <v>0</v>
      </c>
      <c r="AA12" s="68">
        <v>0</v>
      </c>
      <c r="AB12" s="67"/>
      <c r="AC12" s="67"/>
      <c r="AD12" s="68">
        <v>0</v>
      </c>
      <c r="AE12" s="68">
        <v>657</v>
      </c>
      <c r="AF12" s="68">
        <f>U12+(AD12-0)-(AE12-0)</f>
        <v>-657</v>
      </c>
      <c r="AG12" s="74" t="s">
        <v>125</v>
      </c>
      <c r="AH12" s="68">
        <v>0</v>
      </c>
      <c r="AI12" s="68">
        <v>3285</v>
      </c>
      <c r="AJ12" s="68">
        <f t="shared" si="1"/>
        <v>-3942</v>
      </c>
      <c r="AK12" s="74" t="s">
        <v>125</v>
      </c>
      <c r="AL12" s="68">
        <v>0</v>
      </c>
      <c r="AM12" s="68">
        <v>3285</v>
      </c>
      <c r="AN12" s="68">
        <f t="shared" si="2"/>
        <v>-7227</v>
      </c>
      <c r="AO12" s="74" t="s">
        <v>125</v>
      </c>
      <c r="AP12" s="68">
        <v>0</v>
      </c>
      <c r="AQ12" s="68">
        <v>3282.4690000000001</v>
      </c>
      <c r="AR12" s="68">
        <f t="shared" si="3"/>
        <v>-10509.469000000001</v>
      </c>
      <c r="AS12" s="74" t="s">
        <v>125</v>
      </c>
      <c r="AT12" s="68">
        <v>0</v>
      </c>
      <c r="AU12" s="68">
        <v>2788.377</v>
      </c>
      <c r="AV12" s="68">
        <f t="shared" si="4"/>
        <v>-13297.846000000001</v>
      </c>
      <c r="AW12" s="74" t="s">
        <v>125</v>
      </c>
      <c r="AX12" s="68">
        <v>0</v>
      </c>
      <c r="AY12" s="68">
        <v>2665</v>
      </c>
      <c r="AZ12" s="68">
        <f t="shared" si="5"/>
        <v>-15962.846000000001</v>
      </c>
      <c r="BA12" s="74" t="s">
        <v>125</v>
      </c>
      <c r="BB12" s="68">
        <v>0</v>
      </c>
      <c r="BC12" s="68">
        <v>2665</v>
      </c>
      <c r="BD12" s="68">
        <f t="shared" si="6"/>
        <v>-18627.846000000001</v>
      </c>
      <c r="BE12" s="74" t="s">
        <v>125</v>
      </c>
      <c r="BF12" s="68">
        <v>0</v>
      </c>
      <c r="BG12" s="68">
        <v>2665</v>
      </c>
      <c r="BH12" s="68">
        <f t="shared" si="7"/>
        <v>-21292.846000000001</v>
      </c>
      <c r="BI12" s="74" t="s">
        <v>125</v>
      </c>
      <c r="BJ12" s="68">
        <v>0</v>
      </c>
      <c r="BK12" s="68">
        <v>2902</v>
      </c>
      <c r="BL12" s="68">
        <f t="shared" si="8"/>
        <v>-24194.846000000001</v>
      </c>
      <c r="BM12" s="74" t="s">
        <v>125</v>
      </c>
      <c r="BN12" s="68">
        <v>0</v>
      </c>
      <c r="BO12" s="68">
        <v>3846.1959999999999</v>
      </c>
      <c r="BP12" s="68">
        <f t="shared" si="9"/>
        <v>-28041.042000000001</v>
      </c>
      <c r="BQ12" s="74" t="s">
        <v>125</v>
      </c>
      <c r="BR12" s="68">
        <v>0</v>
      </c>
      <c r="BS12" s="68">
        <v>3845</v>
      </c>
      <c r="BT12" s="68">
        <f t="shared" si="10"/>
        <v>-31886.042000000001</v>
      </c>
      <c r="BU12" s="74" t="s">
        <v>125</v>
      </c>
      <c r="BV12" s="68">
        <v>0</v>
      </c>
      <c r="BW12" s="68">
        <v>3845</v>
      </c>
      <c r="BX12" s="68">
        <f t="shared" si="11"/>
        <v>-35731.042000000001</v>
      </c>
      <c r="BY12" s="74" t="s">
        <v>125</v>
      </c>
      <c r="BZ12" s="68">
        <v>0</v>
      </c>
      <c r="CA12" s="68">
        <v>3845</v>
      </c>
      <c r="CB12" s="68">
        <f t="shared" si="12"/>
        <v>-39576.042000000001</v>
      </c>
      <c r="CC12" s="74" t="s">
        <v>125</v>
      </c>
      <c r="CD12" s="68">
        <v>0</v>
      </c>
      <c r="CE12" s="68">
        <v>3410</v>
      </c>
      <c r="CF12" s="68">
        <f t="shared" si="13"/>
        <v>-42986.042000000001</v>
      </c>
      <c r="CG12" s="74" t="s">
        <v>125</v>
      </c>
      <c r="CH12" s="68">
        <v>0</v>
      </c>
      <c r="CI12" s="68">
        <v>3410</v>
      </c>
      <c r="CJ12" s="68">
        <f t="shared" si="14"/>
        <v>-46396.042000000001</v>
      </c>
      <c r="CK12" s="74" t="s">
        <v>125</v>
      </c>
      <c r="CL12" s="68">
        <v>0</v>
      </c>
      <c r="CM12" s="68">
        <v>3410</v>
      </c>
      <c r="CN12" s="68">
        <f t="shared" si="15"/>
        <v>-49806.042000000001</v>
      </c>
      <c r="CO12" s="74" t="s">
        <v>125</v>
      </c>
      <c r="CP12" s="68">
        <v>0</v>
      </c>
      <c r="CQ12" s="68">
        <v>3405.558</v>
      </c>
      <c r="CR12" s="68">
        <f t="shared" si="16"/>
        <v>-53211.6</v>
      </c>
      <c r="CS12" s="74" t="s">
        <v>125</v>
      </c>
      <c r="CT12" s="68">
        <v>0</v>
      </c>
      <c r="CU12" s="68">
        <v>3093</v>
      </c>
      <c r="CV12" s="68">
        <f t="shared" si="17"/>
        <v>-56304.6</v>
      </c>
      <c r="CW12" s="74" t="s">
        <v>125</v>
      </c>
      <c r="CX12" s="68">
        <v>0</v>
      </c>
      <c r="CY12" s="68">
        <v>2885</v>
      </c>
      <c r="CZ12" s="68">
        <f t="shared" si="18"/>
        <v>-59189.599999999999</v>
      </c>
      <c r="DA12" s="74" t="s">
        <v>125</v>
      </c>
      <c r="DB12" s="68">
        <v>0</v>
      </c>
      <c r="DC12" s="68">
        <v>2884.8310000000001</v>
      </c>
      <c r="DD12" s="68">
        <f t="shared" si="19"/>
        <v>-62074.430999999997</v>
      </c>
      <c r="DE12" s="74" t="s">
        <v>125</v>
      </c>
      <c r="DF12" s="68">
        <v>0</v>
      </c>
      <c r="DG12" s="68">
        <v>2880</v>
      </c>
      <c r="DH12" s="68">
        <f t="shared" si="20"/>
        <v>-64954.430999999997</v>
      </c>
      <c r="DI12" s="74" t="s">
        <v>125</v>
      </c>
      <c r="DJ12" s="68">
        <v>0</v>
      </c>
      <c r="DK12" s="68">
        <v>2304</v>
      </c>
      <c r="DL12" s="68">
        <f t="shared" si="21"/>
        <v>-67258.430999999997</v>
      </c>
      <c r="DM12" s="74" t="s">
        <v>125</v>
      </c>
      <c r="DN12" s="68">
        <v>0</v>
      </c>
      <c r="DO12" s="68" t="s">
        <v>5</v>
      </c>
      <c r="DP12" s="68" t="s">
        <v>127</v>
      </c>
      <c r="DQ12" s="68" t="s">
        <v>127</v>
      </c>
      <c r="DR12" s="68">
        <v>0</v>
      </c>
      <c r="DS12" s="68" t="s">
        <v>5</v>
      </c>
      <c r="DT12" s="68" t="s">
        <v>127</v>
      </c>
      <c r="DU12" s="68" t="s">
        <v>127</v>
      </c>
      <c r="DW12" s="68">
        <v>0</v>
      </c>
      <c r="DX12" s="68">
        <v>1500</v>
      </c>
      <c r="DY12" s="68"/>
      <c r="DZ12" s="68"/>
      <c r="EA12" s="68">
        <v>9</v>
      </c>
      <c r="EB12" s="68">
        <v>20</v>
      </c>
    </row>
    <row r="13" spans="1:132" s="84" customFormat="1">
      <c r="A13" s="76" t="s">
        <v>146</v>
      </c>
      <c r="B13" s="76" t="s">
        <v>147</v>
      </c>
      <c r="C13" s="76" t="s">
        <v>118</v>
      </c>
      <c r="D13" s="76" t="s">
        <v>148</v>
      </c>
      <c r="E13" s="76" t="s">
        <v>120</v>
      </c>
      <c r="F13" s="76" t="s">
        <v>149</v>
      </c>
      <c r="G13" s="76" t="s">
        <v>136</v>
      </c>
      <c r="H13" s="76" t="s">
        <v>137</v>
      </c>
      <c r="I13" s="76" t="s">
        <v>121</v>
      </c>
      <c r="J13" s="76"/>
      <c r="K13" s="76" t="s">
        <v>121</v>
      </c>
      <c r="L13" s="77">
        <v>100</v>
      </c>
      <c r="M13" s="76" t="s">
        <v>124</v>
      </c>
      <c r="N13" s="78"/>
      <c r="O13" s="77"/>
      <c r="P13" s="77"/>
      <c r="Q13" s="77">
        <v>0</v>
      </c>
      <c r="R13" s="77">
        <v>0</v>
      </c>
      <c r="S13" s="77">
        <v>0</v>
      </c>
      <c r="T13" s="77">
        <v>0</v>
      </c>
      <c r="U13" s="77">
        <f t="shared" si="0"/>
        <v>0</v>
      </c>
      <c r="V13" s="79" t="s">
        <v>125</v>
      </c>
      <c r="W13" s="80"/>
      <c r="X13" s="81" t="s">
        <v>126</v>
      </c>
      <c r="Y13" s="77">
        <v>0</v>
      </c>
      <c r="Z13" s="82">
        <v>0</v>
      </c>
      <c r="AA13" s="77">
        <v>0</v>
      </c>
      <c r="AB13" s="76"/>
      <c r="AC13" s="76"/>
      <c r="AD13" s="77">
        <v>0</v>
      </c>
      <c r="AE13" s="77">
        <v>437</v>
      </c>
      <c r="AF13" s="77">
        <f>(U13+IF(N13=DATEVALUE("2023-07-07"),O13,0))+(AD13-0)-(AE13-0)</f>
        <v>-437</v>
      </c>
      <c r="AG13" s="83" t="s">
        <v>125</v>
      </c>
      <c r="AH13" s="77">
        <v>0</v>
      </c>
      <c r="AI13" s="77">
        <v>2185</v>
      </c>
      <c r="AJ13" s="77">
        <f t="shared" si="1"/>
        <v>-2622</v>
      </c>
      <c r="AK13" s="83" t="s">
        <v>125</v>
      </c>
      <c r="AL13" s="77">
        <v>0</v>
      </c>
      <c r="AM13" s="77">
        <v>2185</v>
      </c>
      <c r="AN13" s="77">
        <f t="shared" si="2"/>
        <v>-4807</v>
      </c>
      <c r="AO13" s="83" t="s">
        <v>125</v>
      </c>
      <c r="AP13" s="77">
        <v>0</v>
      </c>
      <c r="AQ13" s="77">
        <v>2185</v>
      </c>
      <c r="AR13" s="77">
        <f t="shared" si="3"/>
        <v>-6992</v>
      </c>
      <c r="AS13" s="83" t="s">
        <v>125</v>
      </c>
      <c r="AT13" s="77">
        <v>0</v>
      </c>
      <c r="AU13" s="77">
        <v>1856.9459999999999</v>
      </c>
      <c r="AV13" s="77">
        <f t="shared" si="4"/>
        <v>-8848.9459999999999</v>
      </c>
      <c r="AW13" s="83" t="s">
        <v>125</v>
      </c>
      <c r="AX13" s="77">
        <v>0</v>
      </c>
      <c r="AY13" s="77">
        <v>1775</v>
      </c>
      <c r="AZ13" s="77">
        <f t="shared" si="5"/>
        <v>-10623.946</v>
      </c>
      <c r="BA13" s="83" t="s">
        <v>125</v>
      </c>
      <c r="BB13" s="77">
        <v>0</v>
      </c>
      <c r="BC13" s="77">
        <v>1773.2180000000001</v>
      </c>
      <c r="BD13" s="77">
        <f t="shared" si="6"/>
        <v>-12397.164000000001</v>
      </c>
      <c r="BE13" s="83" t="s">
        <v>125</v>
      </c>
      <c r="BF13" s="77">
        <v>0</v>
      </c>
      <c r="BG13" s="77">
        <v>1770</v>
      </c>
      <c r="BH13" s="77">
        <f t="shared" si="7"/>
        <v>-14167.164000000001</v>
      </c>
      <c r="BI13" s="83" t="s">
        <v>125</v>
      </c>
      <c r="BJ13" s="77">
        <v>0</v>
      </c>
      <c r="BK13" s="77">
        <v>1928</v>
      </c>
      <c r="BL13" s="77">
        <f t="shared" si="8"/>
        <v>-16095.164000000001</v>
      </c>
      <c r="BM13" s="83" t="s">
        <v>125</v>
      </c>
      <c r="BN13" s="77">
        <v>0</v>
      </c>
      <c r="BO13" s="77">
        <v>2560</v>
      </c>
      <c r="BP13" s="77">
        <f t="shared" si="9"/>
        <v>-18655.164000000001</v>
      </c>
      <c r="BQ13" s="83" t="s">
        <v>125</v>
      </c>
      <c r="BR13" s="77">
        <v>0</v>
      </c>
      <c r="BS13" s="77">
        <v>2560</v>
      </c>
      <c r="BT13" s="77">
        <f t="shared" si="10"/>
        <v>-21215.164000000001</v>
      </c>
      <c r="BU13" s="83" t="s">
        <v>125</v>
      </c>
      <c r="BV13" s="77">
        <v>0</v>
      </c>
      <c r="BW13" s="77">
        <v>2560</v>
      </c>
      <c r="BX13" s="77">
        <f t="shared" si="11"/>
        <v>-23775.164000000001</v>
      </c>
      <c r="BY13" s="83" t="s">
        <v>125</v>
      </c>
      <c r="BZ13" s="77">
        <v>0</v>
      </c>
      <c r="CA13" s="77">
        <v>2556.7640000000001</v>
      </c>
      <c r="CB13" s="77">
        <f t="shared" si="12"/>
        <v>-26331.928</v>
      </c>
      <c r="CC13" s="83" t="s">
        <v>125</v>
      </c>
      <c r="CD13" s="77">
        <v>0</v>
      </c>
      <c r="CE13" s="77">
        <v>2270</v>
      </c>
      <c r="CF13" s="77">
        <f t="shared" si="13"/>
        <v>-28601.928</v>
      </c>
      <c r="CG13" s="83" t="s">
        <v>125</v>
      </c>
      <c r="CH13" s="77">
        <v>0</v>
      </c>
      <c r="CI13" s="77">
        <v>2270</v>
      </c>
      <c r="CJ13" s="77">
        <f t="shared" si="14"/>
        <v>-30871.928</v>
      </c>
      <c r="CK13" s="83" t="s">
        <v>125</v>
      </c>
      <c r="CL13" s="77">
        <v>0</v>
      </c>
      <c r="CM13" s="77">
        <v>2268.672</v>
      </c>
      <c r="CN13" s="77">
        <f t="shared" si="15"/>
        <v>-33140.6</v>
      </c>
      <c r="CO13" s="83" t="s">
        <v>125</v>
      </c>
      <c r="CP13" s="77">
        <v>0</v>
      </c>
      <c r="CQ13" s="77">
        <v>2265</v>
      </c>
      <c r="CR13" s="77">
        <f t="shared" si="16"/>
        <v>-35405.599999999999</v>
      </c>
      <c r="CS13" s="83" t="s">
        <v>125</v>
      </c>
      <c r="CT13" s="77">
        <v>0</v>
      </c>
      <c r="CU13" s="77">
        <v>2058</v>
      </c>
      <c r="CV13" s="77">
        <f t="shared" si="17"/>
        <v>-37463.599999999999</v>
      </c>
      <c r="CW13" s="83" t="s">
        <v>125</v>
      </c>
      <c r="CX13" s="77">
        <v>0</v>
      </c>
      <c r="CY13" s="77">
        <v>1920</v>
      </c>
      <c r="CZ13" s="77">
        <f t="shared" si="18"/>
        <v>-39383.599999999999</v>
      </c>
      <c r="DA13" s="83" t="s">
        <v>125</v>
      </c>
      <c r="DB13" s="77">
        <v>0</v>
      </c>
      <c r="DC13" s="77">
        <v>1918.854</v>
      </c>
      <c r="DD13" s="77">
        <f t="shared" si="19"/>
        <v>-41302.453999999998</v>
      </c>
      <c r="DE13" s="83" t="s">
        <v>125</v>
      </c>
      <c r="DF13" s="77">
        <v>0</v>
      </c>
      <c r="DG13" s="77">
        <v>1915</v>
      </c>
      <c r="DH13" s="77">
        <f t="shared" si="20"/>
        <v>-43217.453999999998</v>
      </c>
      <c r="DI13" s="83" t="s">
        <v>125</v>
      </c>
      <c r="DJ13" s="77">
        <v>0</v>
      </c>
      <c r="DK13" s="77">
        <v>1532</v>
      </c>
      <c r="DL13" s="77">
        <f t="shared" si="21"/>
        <v>-44749.453999999998</v>
      </c>
      <c r="DM13" s="83" t="s">
        <v>125</v>
      </c>
      <c r="DN13" s="77">
        <v>0</v>
      </c>
      <c r="DO13" s="77" t="s">
        <v>5</v>
      </c>
      <c r="DP13" s="77" t="s">
        <v>127</v>
      </c>
      <c r="DQ13" s="77" t="s">
        <v>127</v>
      </c>
      <c r="DR13" s="77">
        <v>0</v>
      </c>
      <c r="DS13" s="77" t="s">
        <v>5</v>
      </c>
      <c r="DT13" s="77" t="s">
        <v>127</v>
      </c>
      <c r="DU13" s="77" t="s">
        <v>127</v>
      </c>
      <c r="DW13" s="77">
        <v>0</v>
      </c>
      <c r="DX13" s="77">
        <v>100</v>
      </c>
      <c r="DY13" s="77"/>
      <c r="DZ13" s="77"/>
      <c r="EA13" s="77">
        <v>9</v>
      </c>
      <c r="EB13" s="77">
        <v>20</v>
      </c>
    </row>
    <row r="14" spans="1:132" s="93" customFormat="1">
      <c r="A14" s="85" t="s">
        <v>150</v>
      </c>
      <c r="B14" s="85" t="s">
        <v>151</v>
      </c>
      <c r="C14" s="85" t="s">
        <v>118</v>
      </c>
      <c r="D14" s="85" t="s">
        <v>152</v>
      </c>
      <c r="E14" s="85" t="s">
        <v>120</v>
      </c>
      <c r="F14" s="85" t="s">
        <v>153</v>
      </c>
      <c r="G14" s="85" t="s">
        <v>122</v>
      </c>
      <c r="H14" s="85" t="s">
        <v>123</v>
      </c>
      <c r="I14" s="85" t="s">
        <v>121</v>
      </c>
      <c r="J14" s="85"/>
      <c r="K14" s="85" t="s">
        <v>121</v>
      </c>
      <c r="L14" s="86">
        <v>22000</v>
      </c>
      <c r="M14" s="85" t="s">
        <v>124</v>
      </c>
      <c r="N14" s="87"/>
      <c r="O14" s="86"/>
      <c r="P14" s="86"/>
      <c r="Q14" s="86">
        <v>0</v>
      </c>
      <c r="R14" s="86">
        <v>0</v>
      </c>
      <c r="S14" s="86">
        <v>0</v>
      </c>
      <c r="T14" s="86">
        <v>0</v>
      </c>
      <c r="U14" s="86">
        <f t="shared" si="0"/>
        <v>0</v>
      </c>
      <c r="V14" s="88" t="s">
        <v>125</v>
      </c>
      <c r="W14" s="89"/>
      <c r="X14" s="90" t="s">
        <v>126</v>
      </c>
      <c r="Y14" s="86">
        <v>0</v>
      </c>
      <c r="Z14" s="91">
        <v>0</v>
      </c>
      <c r="AA14" s="86">
        <v>0</v>
      </c>
      <c r="AB14" s="85"/>
      <c r="AC14" s="85"/>
      <c r="AD14" s="86">
        <v>0</v>
      </c>
      <c r="AE14" s="86">
        <v>218</v>
      </c>
      <c r="AF14" s="86">
        <f>(U14+IF(N14=DATEVALUE("2023-07-07"),O14,0))+(AD14-0)-(AE14-0)</f>
        <v>-218</v>
      </c>
      <c r="AG14" s="92" t="s">
        <v>125</v>
      </c>
      <c r="AH14" s="86">
        <v>0</v>
      </c>
      <c r="AI14" s="86">
        <v>1090</v>
      </c>
      <c r="AJ14" s="86">
        <f t="shared" si="1"/>
        <v>-1308</v>
      </c>
      <c r="AK14" s="92" t="s">
        <v>125</v>
      </c>
      <c r="AL14" s="86">
        <v>0</v>
      </c>
      <c r="AM14" s="86">
        <v>1090</v>
      </c>
      <c r="AN14" s="86">
        <f t="shared" si="2"/>
        <v>-2398</v>
      </c>
      <c r="AO14" s="92" t="s">
        <v>125</v>
      </c>
      <c r="AP14" s="86">
        <v>0</v>
      </c>
      <c r="AQ14" s="86">
        <v>1085.2729999999999</v>
      </c>
      <c r="AR14" s="86">
        <f t="shared" si="3"/>
        <v>-3483.2730000000001</v>
      </c>
      <c r="AS14" s="92" t="s">
        <v>125</v>
      </c>
      <c r="AT14" s="86">
        <v>0</v>
      </c>
      <c r="AU14" s="86">
        <v>925</v>
      </c>
      <c r="AV14" s="86">
        <f t="shared" si="4"/>
        <v>-4408.2730000000001</v>
      </c>
      <c r="AW14" s="92" t="s">
        <v>125</v>
      </c>
      <c r="AX14" s="86">
        <v>0</v>
      </c>
      <c r="AY14" s="86">
        <v>885</v>
      </c>
      <c r="AZ14" s="86">
        <f t="shared" si="5"/>
        <v>-5293.2730000000001</v>
      </c>
      <c r="BA14" s="92" t="s">
        <v>125</v>
      </c>
      <c r="BB14" s="86">
        <v>0</v>
      </c>
      <c r="BC14" s="86">
        <v>883.90899999999999</v>
      </c>
      <c r="BD14" s="86">
        <f t="shared" si="6"/>
        <v>-6177.1819999999998</v>
      </c>
      <c r="BE14" s="92" t="s">
        <v>125</v>
      </c>
      <c r="BF14" s="86">
        <v>0</v>
      </c>
      <c r="BG14" s="86">
        <v>880</v>
      </c>
      <c r="BH14" s="86">
        <f t="shared" si="7"/>
        <v>-7057.1819999999998</v>
      </c>
      <c r="BI14" s="92" t="s">
        <v>125</v>
      </c>
      <c r="BJ14" s="86">
        <v>0</v>
      </c>
      <c r="BK14" s="86">
        <v>960</v>
      </c>
      <c r="BL14" s="86">
        <f t="shared" si="8"/>
        <v>-8017.1819999999998</v>
      </c>
      <c r="BM14" s="92" t="s">
        <v>125</v>
      </c>
      <c r="BN14" s="86">
        <v>0</v>
      </c>
      <c r="BO14" s="86">
        <v>1277.182</v>
      </c>
      <c r="BP14" s="86">
        <f t="shared" si="9"/>
        <v>-9294.3639999999996</v>
      </c>
      <c r="BQ14" s="92" t="s">
        <v>125</v>
      </c>
      <c r="BR14" s="86">
        <v>0</v>
      </c>
      <c r="BS14" s="86">
        <v>1275</v>
      </c>
      <c r="BT14" s="86">
        <f t="shared" si="10"/>
        <v>-10569.364</v>
      </c>
      <c r="BU14" s="92" t="s">
        <v>125</v>
      </c>
      <c r="BV14" s="86">
        <v>0</v>
      </c>
      <c r="BW14" s="86">
        <v>1275</v>
      </c>
      <c r="BX14" s="86">
        <f t="shared" si="11"/>
        <v>-11844.364</v>
      </c>
      <c r="BY14" s="92" t="s">
        <v>125</v>
      </c>
      <c r="BZ14" s="86">
        <v>0</v>
      </c>
      <c r="CA14" s="86">
        <v>1275</v>
      </c>
      <c r="CB14" s="86">
        <f t="shared" si="12"/>
        <v>-13119.364</v>
      </c>
      <c r="CC14" s="92" t="s">
        <v>125</v>
      </c>
      <c r="CD14" s="86">
        <v>0</v>
      </c>
      <c r="CE14" s="86">
        <v>1131.636</v>
      </c>
      <c r="CF14" s="86">
        <f t="shared" si="13"/>
        <v>-14251</v>
      </c>
      <c r="CG14" s="92" t="s">
        <v>125</v>
      </c>
      <c r="CH14" s="86">
        <v>0</v>
      </c>
      <c r="CI14" s="86">
        <v>1130</v>
      </c>
      <c r="CJ14" s="86">
        <f t="shared" si="14"/>
        <v>-15381</v>
      </c>
      <c r="CK14" s="92" t="s">
        <v>125</v>
      </c>
      <c r="CL14" s="86">
        <v>0</v>
      </c>
      <c r="CM14" s="86">
        <v>1130</v>
      </c>
      <c r="CN14" s="86">
        <f t="shared" si="15"/>
        <v>-16511</v>
      </c>
      <c r="CO14" s="92" t="s">
        <v>125</v>
      </c>
      <c r="CP14" s="86">
        <v>0</v>
      </c>
      <c r="CQ14" s="86">
        <v>1130</v>
      </c>
      <c r="CR14" s="86">
        <f t="shared" si="16"/>
        <v>-17641</v>
      </c>
      <c r="CS14" s="92" t="s">
        <v>125</v>
      </c>
      <c r="CT14" s="86">
        <v>0</v>
      </c>
      <c r="CU14" s="86">
        <v>1025.7270000000001</v>
      </c>
      <c r="CV14" s="86">
        <f t="shared" si="17"/>
        <v>-18666.726999999999</v>
      </c>
      <c r="CW14" s="92" t="s">
        <v>125</v>
      </c>
      <c r="CX14" s="86">
        <v>0</v>
      </c>
      <c r="CY14" s="86">
        <v>955</v>
      </c>
      <c r="CZ14" s="86">
        <f t="shared" si="18"/>
        <v>-19621.726999999999</v>
      </c>
      <c r="DA14" s="92" t="s">
        <v>125</v>
      </c>
      <c r="DB14" s="86">
        <v>0</v>
      </c>
      <c r="DC14" s="86">
        <v>955</v>
      </c>
      <c r="DD14" s="86">
        <f t="shared" si="19"/>
        <v>-20576.726999999999</v>
      </c>
      <c r="DE14" s="92" t="s">
        <v>125</v>
      </c>
      <c r="DF14" s="86">
        <v>0</v>
      </c>
      <c r="DG14" s="86">
        <v>955</v>
      </c>
      <c r="DH14" s="86">
        <f t="shared" si="20"/>
        <v>-21531.726999999999</v>
      </c>
      <c r="DI14" s="92" t="s">
        <v>125</v>
      </c>
      <c r="DJ14" s="86">
        <v>0</v>
      </c>
      <c r="DK14" s="86">
        <v>764</v>
      </c>
      <c r="DL14" s="86">
        <f t="shared" si="21"/>
        <v>-22295.726999999999</v>
      </c>
      <c r="DM14" s="92" t="s">
        <v>125</v>
      </c>
      <c r="DN14" s="86">
        <v>0</v>
      </c>
      <c r="DO14" s="86" t="s">
        <v>5</v>
      </c>
      <c r="DP14" s="86" t="s">
        <v>127</v>
      </c>
      <c r="DQ14" s="86" t="s">
        <v>127</v>
      </c>
      <c r="DR14" s="86">
        <v>0</v>
      </c>
      <c r="DS14" s="86" t="s">
        <v>5</v>
      </c>
      <c r="DT14" s="86" t="s">
        <v>127</v>
      </c>
      <c r="DU14" s="86" t="s">
        <v>127</v>
      </c>
      <c r="DW14" s="86">
        <v>0</v>
      </c>
      <c r="DX14" s="86">
        <v>22000</v>
      </c>
      <c r="DY14" s="86"/>
      <c r="DZ14" s="86"/>
      <c r="EA14" s="86">
        <v>9</v>
      </c>
      <c r="EB14" s="86">
        <v>20</v>
      </c>
    </row>
    <row r="15" spans="1:132">
      <c r="A15" s="20" t="s">
        <v>154</v>
      </c>
      <c r="B15" s="20" t="s">
        <v>155</v>
      </c>
      <c r="C15" s="20" t="s">
        <v>118</v>
      </c>
      <c r="D15" s="20" t="s">
        <v>156</v>
      </c>
      <c r="E15" s="20" t="s">
        <v>157</v>
      </c>
      <c r="F15" s="20" t="s">
        <v>158</v>
      </c>
      <c r="G15" s="20"/>
      <c r="H15" s="20"/>
      <c r="I15" s="20" t="s">
        <v>121</v>
      </c>
      <c r="J15" s="20"/>
      <c r="K15" s="20"/>
      <c r="L15" s="23">
        <v>10</v>
      </c>
      <c r="M15" s="20" t="s">
        <v>124</v>
      </c>
      <c r="N15" s="24"/>
      <c r="O15" s="23"/>
      <c r="P15" s="23"/>
      <c r="Q15" s="23">
        <v>0</v>
      </c>
      <c r="R15" s="23">
        <v>0</v>
      </c>
      <c r="S15" s="23">
        <v>0</v>
      </c>
      <c r="T15" s="23">
        <v>0</v>
      </c>
      <c r="U15" s="23">
        <f t="shared" si="0"/>
        <v>0</v>
      </c>
      <c r="V15" s="22" t="s">
        <v>5</v>
      </c>
      <c r="W15" s="19"/>
      <c r="X15" s="10"/>
      <c r="Y15" s="23">
        <v>0</v>
      </c>
      <c r="Z15" s="21" t="s">
        <v>127</v>
      </c>
      <c r="AA15" s="23">
        <v>0</v>
      </c>
      <c r="AB15" s="20"/>
      <c r="AC15" s="20"/>
      <c r="AD15" s="23">
        <v>0</v>
      </c>
      <c r="AE15" s="23" t="s">
        <v>5</v>
      </c>
      <c r="AF15" s="23" t="s">
        <v>127</v>
      </c>
      <c r="AG15" s="23" t="s">
        <v>127</v>
      </c>
      <c r="AH15" s="23">
        <v>0</v>
      </c>
      <c r="AI15" s="23" t="s">
        <v>5</v>
      </c>
      <c r="AJ15" s="23" t="s">
        <v>127</v>
      </c>
      <c r="AK15" s="23" t="s">
        <v>127</v>
      </c>
      <c r="AL15" s="23">
        <v>0</v>
      </c>
      <c r="AM15" s="23" t="s">
        <v>5</v>
      </c>
      <c r="AN15" s="23" t="s">
        <v>127</v>
      </c>
      <c r="AO15" s="23" t="s">
        <v>127</v>
      </c>
      <c r="AP15" s="23">
        <v>0</v>
      </c>
      <c r="AQ15" s="23" t="s">
        <v>5</v>
      </c>
      <c r="AR15" s="23" t="s">
        <v>127</v>
      </c>
      <c r="AS15" s="23" t="s">
        <v>127</v>
      </c>
      <c r="AT15" s="23">
        <v>0</v>
      </c>
      <c r="AU15" s="23" t="s">
        <v>5</v>
      </c>
      <c r="AV15" s="23" t="s">
        <v>127</v>
      </c>
      <c r="AW15" s="23" t="s">
        <v>127</v>
      </c>
      <c r="AX15" s="23">
        <v>0</v>
      </c>
      <c r="AY15" s="23" t="s">
        <v>5</v>
      </c>
      <c r="AZ15" s="23" t="s">
        <v>127</v>
      </c>
      <c r="BA15" s="23" t="s">
        <v>127</v>
      </c>
      <c r="BB15" s="23">
        <v>0</v>
      </c>
      <c r="BC15" s="23" t="s">
        <v>5</v>
      </c>
      <c r="BD15" s="23" t="s">
        <v>127</v>
      </c>
      <c r="BE15" s="23" t="s">
        <v>127</v>
      </c>
      <c r="BF15" s="23">
        <v>0</v>
      </c>
      <c r="BG15" s="23" t="s">
        <v>5</v>
      </c>
      <c r="BH15" s="23" t="s">
        <v>127</v>
      </c>
      <c r="BI15" s="23" t="s">
        <v>127</v>
      </c>
      <c r="BJ15" s="23">
        <v>0</v>
      </c>
      <c r="BK15" s="23" t="s">
        <v>5</v>
      </c>
      <c r="BL15" s="23" t="s">
        <v>127</v>
      </c>
      <c r="BM15" s="23" t="s">
        <v>127</v>
      </c>
      <c r="BN15" s="23">
        <v>0</v>
      </c>
      <c r="BO15" s="23" t="s">
        <v>5</v>
      </c>
      <c r="BP15" s="23" t="s">
        <v>127</v>
      </c>
      <c r="BQ15" s="23" t="s">
        <v>127</v>
      </c>
      <c r="BR15" s="23">
        <v>0</v>
      </c>
      <c r="BS15" s="23" t="s">
        <v>5</v>
      </c>
      <c r="BT15" s="23" t="s">
        <v>127</v>
      </c>
      <c r="BU15" s="23" t="s">
        <v>127</v>
      </c>
      <c r="BV15" s="23">
        <v>0</v>
      </c>
      <c r="BW15" s="23" t="s">
        <v>5</v>
      </c>
      <c r="BX15" s="23" t="s">
        <v>127</v>
      </c>
      <c r="BY15" s="23" t="s">
        <v>127</v>
      </c>
      <c r="BZ15" s="23">
        <v>0</v>
      </c>
      <c r="CA15" s="23" t="s">
        <v>5</v>
      </c>
      <c r="CB15" s="23" t="s">
        <v>127</v>
      </c>
      <c r="CC15" s="23" t="s">
        <v>127</v>
      </c>
      <c r="CD15" s="23">
        <v>0</v>
      </c>
      <c r="CE15" s="23" t="s">
        <v>5</v>
      </c>
      <c r="CF15" s="23" t="s">
        <v>127</v>
      </c>
      <c r="CG15" s="23" t="s">
        <v>127</v>
      </c>
      <c r="CH15" s="23">
        <v>0</v>
      </c>
      <c r="CI15" s="23" t="s">
        <v>5</v>
      </c>
      <c r="CJ15" s="23" t="s">
        <v>127</v>
      </c>
      <c r="CK15" s="23" t="s">
        <v>127</v>
      </c>
      <c r="CL15" s="23">
        <v>0</v>
      </c>
      <c r="CM15" s="23" t="s">
        <v>5</v>
      </c>
      <c r="CN15" s="23" t="s">
        <v>127</v>
      </c>
      <c r="CO15" s="23" t="s">
        <v>127</v>
      </c>
      <c r="CP15" s="23">
        <v>0</v>
      </c>
      <c r="CQ15" s="23" t="s">
        <v>5</v>
      </c>
      <c r="CR15" s="23" t="s">
        <v>127</v>
      </c>
      <c r="CS15" s="23" t="s">
        <v>127</v>
      </c>
      <c r="CT15" s="23">
        <v>0</v>
      </c>
      <c r="CU15" s="23" t="s">
        <v>5</v>
      </c>
      <c r="CV15" s="23" t="s">
        <v>127</v>
      </c>
      <c r="CW15" s="23" t="s">
        <v>127</v>
      </c>
      <c r="CX15" s="23">
        <v>0</v>
      </c>
      <c r="CY15" s="23" t="s">
        <v>5</v>
      </c>
      <c r="CZ15" s="23" t="s">
        <v>127</v>
      </c>
      <c r="DA15" s="23" t="s">
        <v>127</v>
      </c>
      <c r="DB15" s="23">
        <v>0</v>
      </c>
      <c r="DC15" s="23" t="s">
        <v>5</v>
      </c>
      <c r="DD15" s="23" t="s">
        <v>127</v>
      </c>
      <c r="DE15" s="23" t="s">
        <v>127</v>
      </c>
      <c r="DF15" s="23">
        <v>0</v>
      </c>
      <c r="DG15" s="23" t="s">
        <v>5</v>
      </c>
      <c r="DH15" s="23" t="s">
        <v>127</v>
      </c>
      <c r="DI15" s="23" t="s">
        <v>127</v>
      </c>
      <c r="DJ15" s="23">
        <v>0</v>
      </c>
      <c r="DK15" s="23" t="s">
        <v>5</v>
      </c>
      <c r="DL15" s="23" t="s">
        <v>127</v>
      </c>
      <c r="DM15" s="23" t="s">
        <v>127</v>
      </c>
      <c r="DN15" s="23">
        <v>0</v>
      </c>
      <c r="DO15" s="23" t="s">
        <v>5</v>
      </c>
      <c r="DP15" s="23" t="s">
        <v>127</v>
      </c>
      <c r="DQ15" s="23" t="s">
        <v>127</v>
      </c>
      <c r="DR15" s="23">
        <v>0</v>
      </c>
      <c r="DS15" s="23" t="s">
        <v>5</v>
      </c>
      <c r="DT15" s="23" t="s">
        <v>127</v>
      </c>
      <c r="DU15" s="23" t="s">
        <v>127</v>
      </c>
      <c r="DW15" s="23">
        <v>0</v>
      </c>
      <c r="DX15" s="23">
        <v>10</v>
      </c>
      <c r="DY15" s="23"/>
      <c r="DZ15" s="23"/>
      <c r="EA15" s="23"/>
      <c r="EB15" s="23"/>
    </row>
    <row r="16" spans="1:132">
      <c r="A16" s="20" t="s">
        <v>159</v>
      </c>
      <c r="B16" s="20" t="s">
        <v>160</v>
      </c>
      <c r="C16" s="20" t="s">
        <v>118</v>
      </c>
      <c r="D16" s="20" t="s">
        <v>161</v>
      </c>
      <c r="E16" s="20" t="s">
        <v>157</v>
      </c>
      <c r="F16" s="20" t="s">
        <v>162</v>
      </c>
      <c r="G16" s="20"/>
      <c r="H16" s="20"/>
      <c r="I16" s="20" t="s">
        <v>121</v>
      </c>
      <c r="J16" s="20"/>
      <c r="K16" s="20"/>
      <c r="L16" s="23">
        <v>10</v>
      </c>
      <c r="M16" s="20" t="s">
        <v>124</v>
      </c>
      <c r="N16" s="24"/>
      <c r="O16" s="23"/>
      <c r="P16" s="23"/>
      <c r="Q16" s="23">
        <v>0</v>
      </c>
      <c r="R16" s="23">
        <v>0</v>
      </c>
      <c r="S16" s="23">
        <v>0</v>
      </c>
      <c r="T16" s="23">
        <v>0</v>
      </c>
      <c r="U16" s="23">
        <f t="shared" si="0"/>
        <v>0</v>
      </c>
      <c r="V16" s="22" t="s">
        <v>5</v>
      </c>
      <c r="W16" s="19"/>
      <c r="X16" s="10"/>
      <c r="Y16" s="23">
        <v>0</v>
      </c>
      <c r="Z16" s="21" t="s">
        <v>127</v>
      </c>
      <c r="AA16" s="23">
        <v>0</v>
      </c>
      <c r="AB16" s="20"/>
      <c r="AC16" s="20"/>
      <c r="AD16" s="23">
        <v>0</v>
      </c>
      <c r="AE16" s="23" t="s">
        <v>5</v>
      </c>
      <c r="AF16" s="23" t="s">
        <v>127</v>
      </c>
      <c r="AG16" s="23" t="s">
        <v>127</v>
      </c>
      <c r="AH16" s="23">
        <v>0</v>
      </c>
      <c r="AI16" s="23" t="s">
        <v>5</v>
      </c>
      <c r="AJ16" s="23" t="s">
        <v>127</v>
      </c>
      <c r="AK16" s="23" t="s">
        <v>127</v>
      </c>
      <c r="AL16" s="23">
        <v>0</v>
      </c>
      <c r="AM16" s="23" t="s">
        <v>5</v>
      </c>
      <c r="AN16" s="23" t="s">
        <v>127</v>
      </c>
      <c r="AO16" s="23" t="s">
        <v>127</v>
      </c>
      <c r="AP16" s="23">
        <v>0</v>
      </c>
      <c r="AQ16" s="23" t="s">
        <v>5</v>
      </c>
      <c r="AR16" s="23" t="s">
        <v>127</v>
      </c>
      <c r="AS16" s="23" t="s">
        <v>127</v>
      </c>
      <c r="AT16" s="23">
        <v>0</v>
      </c>
      <c r="AU16" s="23" t="s">
        <v>5</v>
      </c>
      <c r="AV16" s="23" t="s">
        <v>127</v>
      </c>
      <c r="AW16" s="23" t="s">
        <v>127</v>
      </c>
      <c r="AX16" s="23">
        <v>0</v>
      </c>
      <c r="AY16" s="23" t="s">
        <v>5</v>
      </c>
      <c r="AZ16" s="23" t="s">
        <v>127</v>
      </c>
      <c r="BA16" s="23" t="s">
        <v>127</v>
      </c>
      <c r="BB16" s="23">
        <v>0</v>
      </c>
      <c r="BC16" s="23" t="s">
        <v>5</v>
      </c>
      <c r="BD16" s="23" t="s">
        <v>127</v>
      </c>
      <c r="BE16" s="23" t="s">
        <v>127</v>
      </c>
      <c r="BF16" s="23">
        <v>0</v>
      </c>
      <c r="BG16" s="23" t="s">
        <v>5</v>
      </c>
      <c r="BH16" s="23" t="s">
        <v>127</v>
      </c>
      <c r="BI16" s="23" t="s">
        <v>127</v>
      </c>
      <c r="BJ16" s="23">
        <v>0</v>
      </c>
      <c r="BK16" s="23" t="s">
        <v>5</v>
      </c>
      <c r="BL16" s="23" t="s">
        <v>127</v>
      </c>
      <c r="BM16" s="23" t="s">
        <v>127</v>
      </c>
      <c r="BN16" s="23">
        <v>0</v>
      </c>
      <c r="BO16" s="23" t="s">
        <v>5</v>
      </c>
      <c r="BP16" s="23" t="s">
        <v>127</v>
      </c>
      <c r="BQ16" s="23" t="s">
        <v>127</v>
      </c>
      <c r="BR16" s="23">
        <v>0</v>
      </c>
      <c r="BS16" s="23" t="s">
        <v>5</v>
      </c>
      <c r="BT16" s="23" t="s">
        <v>127</v>
      </c>
      <c r="BU16" s="23" t="s">
        <v>127</v>
      </c>
      <c r="BV16" s="23">
        <v>0</v>
      </c>
      <c r="BW16" s="23" t="s">
        <v>5</v>
      </c>
      <c r="BX16" s="23" t="s">
        <v>127</v>
      </c>
      <c r="BY16" s="23" t="s">
        <v>127</v>
      </c>
      <c r="BZ16" s="23">
        <v>0</v>
      </c>
      <c r="CA16" s="23" t="s">
        <v>5</v>
      </c>
      <c r="CB16" s="23" t="s">
        <v>127</v>
      </c>
      <c r="CC16" s="23" t="s">
        <v>127</v>
      </c>
      <c r="CD16" s="23">
        <v>0</v>
      </c>
      <c r="CE16" s="23" t="s">
        <v>5</v>
      </c>
      <c r="CF16" s="23" t="s">
        <v>127</v>
      </c>
      <c r="CG16" s="23" t="s">
        <v>127</v>
      </c>
      <c r="CH16" s="23">
        <v>0</v>
      </c>
      <c r="CI16" s="23" t="s">
        <v>5</v>
      </c>
      <c r="CJ16" s="23" t="s">
        <v>127</v>
      </c>
      <c r="CK16" s="23" t="s">
        <v>127</v>
      </c>
      <c r="CL16" s="23">
        <v>0</v>
      </c>
      <c r="CM16" s="23" t="s">
        <v>5</v>
      </c>
      <c r="CN16" s="23" t="s">
        <v>127</v>
      </c>
      <c r="CO16" s="23" t="s">
        <v>127</v>
      </c>
      <c r="CP16" s="23">
        <v>0</v>
      </c>
      <c r="CQ16" s="23" t="s">
        <v>5</v>
      </c>
      <c r="CR16" s="23" t="s">
        <v>127</v>
      </c>
      <c r="CS16" s="23" t="s">
        <v>127</v>
      </c>
      <c r="CT16" s="23">
        <v>0</v>
      </c>
      <c r="CU16" s="23" t="s">
        <v>5</v>
      </c>
      <c r="CV16" s="23" t="s">
        <v>127</v>
      </c>
      <c r="CW16" s="23" t="s">
        <v>127</v>
      </c>
      <c r="CX16" s="23">
        <v>0</v>
      </c>
      <c r="CY16" s="23" t="s">
        <v>5</v>
      </c>
      <c r="CZ16" s="23" t="s">
        <v>127</v>
      </c>
      <c r="DA16" s="23" t="s">
        <v>127</v>
      </c>
      <c r="DB16" s="23">
        <v>0</v>
      </c>
      <c r="DC16" s="23" t="s">
        <v>5</v>
      </c>
      <c r="DD16" s="23" t="s">
        <v>127</v>
      </c>
      <c r="DE16" s="23" t="s">
        <v>127</v>
      </c>
      <c r="DF16" s="23">
        <v>0</v>
      </c>
      <c r="DG16" s="23" t="s">
        <v>5</v>
      </c>
      <c r="DH16" s="23" t="s">
        <v>127</v>
      </c>
      <c r="DI16" s="23" t="s">
        <v>127</v>
      </c>
      <c r="DJ16" s="23">
        <v>0</v>
      </c>
      <c r="DK16" s="23" t="s">
        <v>5</v>
      </c>
      <c r="DL16" s="23" t="s">
        <v>127</v>
      </c>
      <c r="DM16" s="23" t="s">
        <v>127</v>
      </c>
      <c r="DN16" s="23">
        <v>0</v>
      </c>
      <c r="DO16" s="23" t="s">
        <v>5</v>
      </c>
      <c r="DP16" s="23" t="s">
        <v>127</v>
      </c>
      <c r="DQ16" s="23" t="s">
        <v>127</v>
      </c>
      <c r="DR16" s="23">
        <v>0</v>
      </c>
      <c r="DS16" s="23" t="s">
        <v>5</v>
      </c>
      <c r="DT16" s="23" t="s">
        <v>127</v>
      </c>
      <c r="DU16" s="23" t="s">
        <v>127</v>
      </c>
      <c r="DW16" s="23">
        <v>0</v>
      </c>
      <c r="DX16" s="23">
        <v>10</v>
      </c>
      <c r="DY16" s="23"/>
      <c r="DZ16" s="23"/>
      <c r="EA16" s="23"/>
      <c r="EB16" s="23"/>
    </row>
    <row r="17" spans="1:132">
      <c r="A17" s="20" t="s">
        <v>163</v>
      </c>
      <c r="B17" s="20" t="s">
        <v>164</v>
      </c>
      <c r="C17" s="20" t="s">
        <v>118</v>
      </c>
      <c r="D17" s="20" t="s">
        <v>165</v>
      </c>
      <c r="E17" s="20" t="s">
        <v>157</v>
      </c>
      <c r="F17" s="20" t="s">
        <v>162</v>
      </c>
      <c r="G17" s="20"/>
      <c r="H17" s="20"/>
      <c r="I17" s="20" t="s">
        <v>121</v>
      </c>
      <c r="J17" s="20"/>
      <c r="K17" s="20"/>
      <c r="L17" s="23">
        <v>10</v>
      </c>
      <c r="M17" s="20" t="s">
        <v>124</v>
      </c>
      <c r="N17" s="24"/>
      <c r="O17" s="23"/>
      <c r="P17" s="23"/>
      <c r="Q17" s="23">
        <v>0</v>
      </c>
      <c r="R17" s="23">
        <v>0</v>
      </c>
      <c r="S17" s="23">
        <v>0</v>
      </c>
      <c r="T17" s="23">
        <v>0</v>
      </c>
      <c r="U17" s="23">
        <f t="shared" si="0"/>
        <v>0</v>
      </c>
      <c r="V17" s="22" t="s">
        <v>5</v>
      </c>
      <c r="W17" s="19"/>
      <c r="X17" s="10"/>
      <c r="Y17" s="23">
        <v>0</v>
      </c>
      <c r="Z17" s="21" t="s">
        <v>127</v>
      </c>
      <c r="AA17" s="23">
        <v>0</v>
      </c>
      <c r="AB17" s="20"/>
      <c r="AC17" s="20"/>
      <c r="AD17" s="23">
        <v>0</v>
      </c>
      <c r="AE17" s="23" t="s">
        <v>5</v>
      </c>
      <c r="AF17" s="23" t="s">
        <v>127</v>
      </c>
      <c r="AG17" s="23" t="s">
        <v>127</v>
      </c>
      <c r="AH17" s="23">
        <v>0</v>
      </c>
      <c r="AI17" s="23" t="s">
        <v>5</v>
      </c>
      <c r="AJ17" s="23" t="s">
        <v>127</v>
      </c>
      <c r="AK17" s="23" t="s">
        <v>127</v>
      </c>
      <c r="AL17" s="23">
        <v>0</v>
      </c>
      <c r="AM17" s="23" t="s">
        <v>5</v>
      </c>
      <c r="AN17" s="23" t="s">
        <v>127</v>
      </c>
      <c r="AO17" s="23" t="s">
        <v>127</v>
      </c>
      <c r="AP17" s="23">
        <v>0</v>
      </c>
      <c r="AQ17" s="23" t="s">
        <v>5</v>
      </c>
      <c r="AR17" s="23" t="s">
        <v>127</v>
      </c>
      <c r="AS17" s="23" t="s">
        <v>127</v>
      </c>
      <c r="AT17" s="23">
        <v>0</v>
      </c>
      <c r="AU17" s="23" t="s">
        <v>5</v>
      </c>
      <c r="AV17" s="23" t="s">
        <v>127</v>
      </c>
      <c r="AW17" s="23" t="s">
        <v>127</v>
      </c>
      <c r="AX17" s="23">
        <v>0</v>
      </c>
      <c r="AY17" s="23" t="s">
        <v>5</v>
      </c>
      <c r="AZ17" s="23" t="s">
        <v>127</v>
      </c>
      <c r="BA17" s="23" t="s">
        <v>127</v>
      </c>
      <c r="BB17" s="23">
        <v>0</v>
      </c>
      <c r="BC17" s="23" t="s">
        <v>5</v>
      </c>
      <c r="BD17" s="23" t="s">
        <v>127</v>
      </c>
      <c r="BE17" s="23" t="s">
        <v>127</v>
      </c>
      <c r="BF17" s="23">
        <v>0</v>
      </c>
      <c r="BG17" s="23" t="s">
        <v>5</v>
      </c>
      <c r="BH17" s="23" t="s">
        <v>127</v>
      </c>
      <c r="BI17" s="23" t="s">
        <v>127</v>
      </c>
      <c r="BJ17" s="23">
        <v>0</v>
      </c>
      <c r="BK17" s="23" t="s">
        <v>5</v>
      </c>
      <c r="BL17" s="23" t="s">
        <v>127</v>
      </c>
      <c r="BM17" s="23" t="s">
        <v>127</v>
      </c>
      <c r="BN17" s="23">
        <v>0</v>
      </c>
      <c r="BO17" s="23" t="s">
        <v>5</v>
      </c>
      <c r="BP17" s="23" t="s">
        <v>127</v>
      </c>
      <c r="BQ17" s="23" t="s">
        <v>127</v>
      </c>
      <c r="BR17" s="23">
        <v>0</v>
      </c>
      <c r="BS17" s="23" t="s">
        <v>5</v>
      </c>
      <c r="BT17" s="23" t="s">
        <v>127</v>
      </c>
      <c r="BU17" s="23" t="s">
        <v>127</v>
      </c>
      <c r="BV17" s="23">
        <v>0</v>
      </c>
      <c r="BW17" s="23" t="s">
        <v>5</v>
      </c>
      <c r="BX17" s="23" t="s">
        <v>127</v>
      </c>
      <c r="BY17" s="23" t="s">
        <v>127</v>
      </c>
      <c r="BZ17" s="23">
        <v>0</v>
      </c>
      <c r="CA17" s="23" t="s">
        <v>5</v>
      </c>
      <c r="CB17" s="23" t="s">
        <v>127</v>
      </c>
      <c r="CC17" s="23" t="s">
        <v>127</v>
      </c>
      <c r="CD17" s="23">
        <v>0</v>
      </c>
      <c r="CE17" s="23" t="s">
        <v>5</v>
      </c>
      <c r="CF17" s="23" t="s">
        <v>127</v>
      </c>
      <c r="CG17" s="23" t="s">
        <v>127</v>
      </c>
      <c r="CH17" s="23">
        <v>0</v>
      </c>
      <c r="CI17" s="23" t="s">
        <v>5</v>
      </c>
      <c r="CJ17" s="23" t="s">
        <v>127</v>
      </c>
      <c r="CK17" s="23" t="s">
        <v>127</v>
      </c>
      <c r="CL17" s="23">
        <v>0</v>
      </c>
      <c r="CM17" s="23" t="s">
        <v>5</v>
      </c>
      <c r="CN17" s="23" t="s">
        <v>127</v>
      </c>
      <c r="CO17" s="23" t="s">
        <v>127</v>
      </c>
      <c r="CP17" s="23">
        <v>0</v>
      </c>
      <c r="CQ17" s="23" t="s">
        <v>5</v>
      </c>
      <c r="CR17" s="23" t="s">
        <v>127</v>
      </c>
      <c r="CS17" s="23" t="s">
        <v>127</v>
      </c>
      <c r="CT17" s="23">
        <v>0</v>
      </c>
      <c r="CU17" s="23" t="s">
        <v>5</v>
      </c>
      <c r="CV17" s="23" t="s">
        <v>127</v>
      </c>
      <c r="CW17" s="23" t="s">
        <v>127</v>
      </c>
      <c r="CX17" s="23">
        <v>0</v>
      </c>
      <c r="CY17" s="23" t="s">
        <v>5</v>
      </c>
      <c r="CZ17" s="23" t="s">
        <v>127</v>
      </c>
      <c r="DA17" s="23" t="s">
        <v>127</v>
      </c>
      <c r="DB17" s="23">
        <v>0</v>
      </c>
      <c r="DC17" s="23" t="s">
        <v>5</v>
      </c>
      <c r="DD17" s="23" t="s">
        <v>127</v>
      </c>
      <c r="DE17" s="23" t="s">
        <v>127</v>
      </c>
      <c r="DF17" s="23">
        <v>0</v>
      </c>
      <c r="DG17" s="23" t="s">
        <v>5</v>
      </c>
      <c r="DH17" s="23" t="s">
        <v>127</v>
      </c>
      <c r="DI17" s="23" t="s">
        <v>127</v>
      </c>
      <c r="DJ17" s="23">
        <v>0</v>
      </c>
      <c r="DK17" s="23" t="s">
        <v>5</v>
      </c>
      <c r="DL17" s="23" t="s">
        <v>127</v>
      </c>
      <c r="DM17" s="23" t="s">
        <v>127</v>
      </c>
      <c r="DN17" s="23">
        <v>0</v>
      </c>
      <c r="DO17" s="23" t="s">
        <v>5</v>
      </c>
      <c r="DP17" s="23" t="s">
        <v>127</v>
      </c>
      <c r="DQ17" s="23" t="s">
        <v>127</v>
      </c>
      <c r="DR17" s="23">
        <v>0</v>
      </c>
      <c r="DS17" s="23" t="s">
        <v>5</v>
      </c>
      <c r="DT17" s="23" t="s">
        <v>127</v>
      </c>
      <c r="DU17" s="23" t="s">
        <v>127</v>
      </c>
      <c r="DW17" s="23">
        <v>0</v>
      </c>
      <c r="DX17" s="23">
        <v>10</v>
      </c>
      <c r="DY17" s="23"/>
      <c r="DZ17" s="23"/>
      <c r="EA17" s="23"/>
      <c r="EB17" s="23"/>
    </row>
  </sheetData>
  <mergeCells count="31">
    <mergeCell ref="A1:C2"/>
    <mergeCell ref="W1:W5"/>
    <mergeCell ref="Q6:X6"/>
    <mergeCell ref="Y6:Z6"/>
    <mergeCell ref="AA6:AA7"/>
    <mergeCell ref="AB6:AB7"/>
    <mergeCell ref="AC6:AC7"/>
    <mergeCell ref="AD5:AG5"/>
    <mergeCell ref="AH5:AK5"/>
    <mergeCell ref="AL5:AO5"/>
    <mergeCell ref="AP5:AS5"/>
    <mergeCell ref="AT5:AW5"/>
    <mergeCell ref="AX5:BA5"/>
    <mergeCell ref="BB5:BE5"/>
    <mergeCell ref="BF5:BI5"/>
    <mergeCell ref="BJ5:BM5"/>
    <mergeCell ref="BN5:BQ5"/>
    <mergeCell ref="BR5:BU5"/>
    <mergeCell ref="BV5:BY5"/>
    <mergeCell ref="BZ5:CC5"/>
    <mergeCell ref="CD5:CG5"/>
    <mergeCell ref="CH5:CK5"/>
    <mergeCell ref="CL5:CO5"/>
    <mergeCell ref="CP5:CS5"/>
    <mergeCell ref="CT5:CW5"/>
    <mergeCell ref="DR5:DU5"/>
    <mergeCell ref="CX5:DA5"/>
    <mergeCell ref="DB5:DE5"/>
    <mergeCell ref="DF5:DI5"/>
    <mergeCell ref="DJ5:DM5"/>
    <mergeCell ref="DN5:DQ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_1">
              <controlPr defaultSize="0" autoFill="0" autoLine="0" autoPict="0">
                <anchor moveWithCells="1">
                  <from>
                    <xdr:col>29</xdr:col>
                    <xdr:colOff>266700</xdr:colOff>
                    <xdr:row>1</xdr:row>
                    <xdr:rowOff>152400</xdr:rowOff>
                  </from>
                  <to>
                    <xdr:col>29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_2">
              <controlPr defaultSize="0" autoFill="0" autoLine="0" autoPict="0">
                <anchor moveWithCells="1">
                  <from>
                    <xdr:col>30</xdr:col>
                    <xdr:colOff>266700</xdr:colOff>
                    <xdr:row>1</xdr:row>
                    <xdr:rowOff>152400</xdr:rowOff>
                  </from>
                  <to>
                    <xdr:col>30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_3">
              <controlPr defaultSize="0" autoFill="0" autoLine="0" autoPict="0">
                <anchor moveWithCells="1">
                  <from>
                    <xdr:col>31</xdr:col>
                    <xdr:colOff>266700</xdr:colOff>
                    <xdr:row>1</xdr:row>
                    <xdr:rowOff>152400</xdr:rowOff>
                  </from>
                  <to>
                    <xdr:col>31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_4">
              <controlPr defaultSize="0" autoFill="0" autoLine="0" autoPict="0">
                <anchor moveWithCells="1">
                  <from>
                    <xdr:col>32</xdr:col>
                    <xdr:colOff>266700</xdr:colOff>
                    <xdr:row>1</xdr:row>
                    <xdr:rowOff>152400</xdr:rowOff>
                  </from>
                  <to>
                    <xdr:col>32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_5">
              <controlPr defaultSize="0" autoFill="0" autoLine="0" autoPict="0">
                <anchor moveWithCells="1">
                  <from>
                    <xdr:col>33</xdr:col>
                    <xdr:colOff>266700</xdr:colOff>
                    <xdr:row>1</xdr:row>
                    <xdr:rowOff>152400</xdr:rowOff>
                  </from>
                  <to>
                    <xdr:col>33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_6">
              <controlPr defaultSize="0" autoFill="0" autoLine="0" autoPict="0">
                <anchor moveWithCells="1">
                  <from>
                    <xdr:col>34</xdr:col>
                    <xdr:colOff>266700</xdr:colOff>
                    <xdr:row>1</xdr:row>
                    <xdr:rowOff>152400</xdr:rowOff>
                  </from>
                  <to>
                    <xdr:col>34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_7">
              <controlPr defaultSize="0" autoFill="0" autoLine="0" autoPict="0">
                <anchor moveWithCells="1">
                  <from>
                    <xdr:col>35</xdr:col>
                    <xdr:colOff>266700</xdr:colOff>
                    <xdr:row>1</xdr:row>
                    <xdr:rowOff>152400</xdr:rowOff>
                  </from>
                  <to>
                    <xdr:col>35</xdr:col>
                    <xdr:colOff>518160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A01_InitButton.refreshButton">
                <anchor moveWithCells="1" sizeWithCells="1">
                  <from>
                    <xdr:col>36</xdr:col>
                    <xdr:colOff>22860</xdr:colOff>
                    <xdr:row>2</xdr:row>
                    <xdr:rowOff>15240</xdr:rowOff>
                  </from>
                  <to>
                    <xdr:col>36</xdr:col>
                    <xdr:colOff>1043940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067AA9A672F346A1B58BE42AD9877C" ma:contentTypeVersion="5" ma:contentTypeDescription="Create a new document." ma:contentTypeScope="" ma:versionID="fb25f0482db5a79c3d6b5c0926ca00a3">
  <xsd:schema xmlns:xsd="http://www.w3.org/2001/XMLSchema" xmlns:xs="http://www.w3.org/2001/XMLSchema" xmlns:p="http://schemas.microsoft.com/office/2006/metadata/properties" xmlns:ns2="c3e097ef-e44a-4305-852f-ab2ffd6265ef" xmlns:ns3="1febb254-c9d7-4bcc-acc6-e4d894a01278" targetNamespace="http://schemas.microsoft.com/office/2006/metadata/properties" ma:root="true" ma:fieldsID="67b0f0bb964429d84d53f322277e62a8" ns2:_="" ns3:_="">
    <xsd:import namespace="c3e097ef-e44a-4305-852f-ab2ffd6265ef"/>
    <xsd:import namespace="1febb254-c9d7-4bcc-acc6-e4d894a012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e097ef-e44a-4305-852f-ab2ffd6265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ebb254-c9d7-4bcc-acc6-e4d894a0127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DD4656-4B59-4F2F-9D1E-4F251C94BF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7AEC783-9BEA-4814-B089-2B65E4F127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e097ef-e44a-4305-852f-ab2ffd6265ef"/>
    <ds:schemaRef ds:uri="1febb254-c9d7-4bcc-acc6-e4d894a012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chenzx</dc:creator>
  <cp:lastModifiedBy>Muhammad Syazwan Rusdi</cp:lastModifiedBy>
  <dcterms:created xsi:type="dcterms:W3CDTF">2021-06-17T05:27:04Z</dcterms:created>
  <dcterms:modified xsi:type="dcterms:W3CDTF">2023-10-10T07:01:52Z</dcterms:modified>
</cp:coreProperties>
</file>