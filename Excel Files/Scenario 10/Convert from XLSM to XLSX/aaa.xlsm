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
<Relationships xmlns="http://schemas.openxmlformats.org/package/2006/relationships">
    <Relationship Id="rId1" Target="xl/workbook.xml" Type="http://schemas.openxmlformats.org/officeDocument/2006/relationships/officeDocument"/>
    <Relationship Id="rId2" Target="docProps/core.xml" Type="http://schemas.openxmlformats.org/package/2006/relationships/metadata/core-properties"/>
    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>
    <mc:Choice Requires="x15">
      <x15ac:absPath xmlns:x15ac="http://schemas.microsoft.com/office/spreadsheetml/2010/11/ac" url="E:\Development\workspace-newroe\smt-web-api\src\main\resources\templates\"/>
    </mc:Choice>
  </mc:AlternateContent>
  <xr:revisionPtr revIDLastSave="0" documentId="13_ncr:1_{ABB853DC-49C4-451A-AF6A-EDE1988B469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tock Status" sheetId="1" r:id="rId1"/>
  </sheets>
  <calcPr calcId="162913"/>
  <extLs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<sst xmlns="http://schemas.openxmlformats.org/spreadsheetml/2006/main" count="962" uniqueCount="166">
  <si>
    <t>Over Max</t>
  </si>
  <si>
    <t>Normal</t>
  </si>
  <si>
    <t>Alert 1</t>
  </si>
  <si>
    <t>Alert 2</t>
  </si>
  <si>
    <t>Alert 3</t>
  </si>
  <si>
    <t>No Usage</t>
  </si>
  <si>
    <t>Shortage</t>
  </si>
  <si>
    <t xml:space="preserve">Filter by selection  </t>
    <phoneticPr fontId="1" type="noConversion"/>
  </si>
  <si>
    <t xml:space="preserve">Legend  </t>
    <phoneticPr fontId="1" type="noConversion"/>
  </si>
  <si>
    <t>Stock Status</t>
  </si>
  <si>
    <t>41 week</t>
  </si>
  <si>
    <t>42 week</t>
  </si>
  <si>
    <t>43 week</t>
  </si>
  <si>
    <t>44 week</t>
  </si>
  <si>
    <t>45 week</t>
  </si>
  <si>
    <t>46 week</t>
  </si>
  <si>
    <t>47 week</t>
  </si>
  <si>
    <t>48 week</t>
  </si>
  <si>
    <t>49 week</t>
  </si>
  <si>
    <t>50 week</t>
  </si>
  <si>
    <t>51 week</t>
  </si>
  <si>
    <t>52 week</t>
  </si>
  <si>
    <t>1 week</t>
  </si>
  <si>
    <t>2 week</t>
  </si>
  <si>
    <t>3 week</t>
  </si>
  <si>
    <t>4 week</t>
  </si>
  <si>
    <t>5 week</t>
  </si>
  <si>
    <t>6 week</t>
  </si>
  <si>
    <t>7 week</t>
  </si>
  <si>
    <t>8 week</t>
  </si>
  <si>
    <t>9 week</t>
  </si>
  <si>
    <t>10 week</t>
  </si>
  <si>
    <t>11 week</t>
  </si>
  <si>
    <t>12 week</t>
  </si>
  <si>
    <t>Imp W/H Stock</t>
  </si>
  <si>
    <t>Actual OB</t>
  </si>
  <si>
    <t>Delay Inbound Qty</t>
  </si>
  <si>
    <t>Remarks</t>
  </si>
  <si>
    <t>Manager Remarks</t>
  </si>
  <si>
    <t>2023/10/9</t>
  </si>
  <si>
    <t>~</t>
  </si>
  <si>
    <t>2023/10/15</t>
  </si>
  <si>
    <t>2023/10/16</t>
  </si>
  <si>
    <t>2023/10/22</t>
  </si>
  <si>
    <t>2023/10/23</t>
  </si>
  <si>
    <t>2023/10/29</t>
  </si>
  <si>
    <t>2023/10/30</t>
  </si>
  <si>
    <t>2023/11/5</t>
  </si>
  <si>
    <t>2023/11/6</t>
  </si>
  <si>
    <t>2023/11/12</t>
  </si>
  <si>
    <t>2023/11/13</t>
  </si>
  <si>
    <t>2023/11/19</t>
  </si>
  <si>
    <t>2023/11/20</t>
  </si>
  <si>
    <t>2023/11/26</t>
  </si>
  <si>
    <t>2023/11/27</t>
  </si>
  <si>
    <t>2023/12/3</t>
  </si>
  <si>
    <t>2023/12/4</t>
  </si>
  <si>
    <t>2023/12/10</t>
  </si>
  <si>
    <t>2023/12/11</t>
  </si>
  <si>
    <t>2023/12/17</t>
  </si>
  <si>
    <t>2023/12/18</t>
  </si>
  <si>
    <t>2023/12/24</t>
  </si>
  <si>
    <t>2023/12/25</t>
  </si>
  <si>
    <t>2023/12/31</t>
  </si>
  <si>
    <t>2024/1/1</t>
  </si>
  <si>
    <t>2024/1/7</t>
  </si>
  <si>
    <t>2024/1/8</t>
  </si>
  <si>
    <t>2024/1/14</t>
  </si>
  <si>
    <t>2024/1/15</t>
  </si>
  <si>
    <t>2024/1/21</t>
  </si>
  <si>
    <t>2024/1/22</t>
  </si>
  <si>
    <t>2024/1/28</t>
  </si>
  <si>
    <t>2024/1/29</t>
  </si>
  <si>
    <t>2024/2/4</t>
  </si>
  <si>
    <t>2024/2/5</t>
  </si>
  <si>
    <t>2024/2/11</t>
  </si>
  <si>
    <t>2024/2/12</t>
  </si>
  <si>
    <t>2024/2/18</t>
  </si>
  <si>
    <t>2024/2/19</t>
  </si>
  <si>
    <t>2024/2/25</t>
  </si>
  <si>
    <t>2024/2/26</t>
  </si>
  <si>
    <t>2024/3/3</t>
  </si>
  <si>
    <t>2024/3/4</t>
  </si>
  <si>
    <t>2024/3/10</t>
  </si>
  <si>
    <t>2024/3/11</t>
  </si>
  <si>
    <t>2024/3/17</t>
  </si>
  <si>
    <t>2024/3/18</t>
  </si>
  <si>
    <t>2024/3/24</t>
  </si>
  <si>
    <t>No.</t>
  </si>
  <si>
    <t>Parts No.</t>
  </si>
  <si>
    <t>System Customer Code</t>
  </si>
  <si>
    <t>Customer Parts No.</t>
  </si>
  <si>
    <t>External Ref No.</t>
  </si>
  <si>
    <t>Back No.</t>
  </si>
  <si>
    <t>Export</t>
  </si>
  <si>
    <t>System Supplier Code</t>
  </si>
  <si>
    <t>Model</t>
  </si>
  <si>
    <t>Common Parts</t>
  </si>
  <si>
    <t>Special Parts Type</t>
  </si>
  <si>
    <t>SPQ</t>
  </si>
  <si>
    <t>Source</t>
  </si>
  <si>
    <t>Customer Stock Date</t>
  </si>
  <si>
    <t>Customer Stock</t>
  </si>
  <si>
    <t>Customer Stock &gt; 30 days</t>
  </si>
  <si>
    <t>Stock Qty</t>
  </si>
  <si>
    <t>Stock Qty (On-Hold)</t>
  </si>
  <si>
    <t>Adjustment (Stock)</t>
  </si>
  <si>
    <t>Adjustment (On-Hold)</t>
  </si>
  <si>
    <t>Total (Excludes On-Hold)</t>
  </si>
  <si>
    <t>Stock Days</t>
  </si>
  <si>
    <t>Box Count</t>
  </si>
  <si>
    <t>Low Stock Alert</t>
  </si>
  <si>
    <t>% of Forecast</t>
  </si>
  <si>
    <t>In</t>
  </si>
  <si>
    <t>Out</t>
  </si>
  <si>
    <t>Balance</t>
  </si>
  <si>
    <t>1</t>
  </si>
  <si>
    <t>S2pnaNSL2BLACK</t>
  </si>
  <si>
    <t>MY-PNA-CUS</t>
  </si>
  <si>
    <t>S2pna-NSL-2BLACK</t>
  </si>
  <si>
    <t>PNABU-L3-S2-002</t>
  </si>
  <si>
    <t>b00005</t>
  </si>
  <si>
    <t>JP</t>
  </si>
  <si>
    <t>JP-YAZ-SUP</t>
  </si>
  <si>
    <t/>
  </si>
  <si>
    <t>LCBM</t>
  </si>
  <si>
    <t>0</t>
  </si>
  <si>
    <t>&lt;= 9</t>
  </si>
  <si>
    <t>-</t>
  </si>
  <si>
    <t>2</t>
  </si>
  <si>
    <t>S2pna45050040130</t>
  </si>
  <si>
    <t>S2pna-45050040130</t>
  </si>
  <si>
    <t>b00004</t>
  </si>
  <si>
    <t>3</t>
  </si>
  <si>
    <t>S2pna18007703930</t>
  </si>
  <si>
    <t>S2pna-18007703930</t>
  </si>
  <si>
    <t>b00003</t>
  </si>
  <si>
    <t>4</t>
  </si>
  <si>
    <t>S2pna18001404835</t>
  </si>
  <si>
    <t>S2pna-18001404835</t>
  </si>
  <si>
    <t>b00002</t>
  </si>
  <si>
    <t>5</t>
  </si>
  <si>
    <t>S2pna1219AS1</t>
  </si>
  <si>
    <t>S2pna-1219AS-1</t>
  </si>
  <si>
    <t>b00001</t>
  </si>
  <si>
    <t>MY</t>
  </si>
  <si>
    <t>MY-ELA-SUP</t>
  </si>
  <si>
    <t>6</t>
  </si>
  <si>
    <t>S2ATEST202306050000000000002</t>
  </si>
  <si>
    <t>S2CUS-PNATEST,20230605000000000000-2</t>
  </si>
  <si>
    <t>7</t>
  </si>
  <si>
    <t>S2ATEST202306050000000000001</t>
  </si>
  <si>
    <t>S2CUS-PNATEST,20230605000000000000-1</t>
  </si>
  <si>
    <t>b00006</t>
  </si>
  <si>
    <t>8</t>
  </si>
  <si>
    <t>S282151BZK50</t>
  </si>
  <si>
    <t>S282151-BZK50</t>
  </si>
  <si>
    <t>PNABU-L2-S2-002</t>
  </si>
  <si>
    <t>Back2</t>
  </si>
  <si>
    <t>9</t>
  </si>
  <si>
    <t>S282151BZE00</t>
  </si>
  <si>
    <t>S282151-BZE00</t>
  </si>
  <si>
    <t>Back1</t>
  </si>
  <si>
    <t>10</t>
  </si>
  <si>
    <t>S282151BZD90</t>
  </si>
  <si>
    <t>S282151-BZD90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</si>
</sst>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5" formatCode="yyyy/MM/dd"/>
    <numFmt numFmtId="166" formatCode="#,##0%"/>
    <numFmt numFmtId="167" formatCode="#,##0.0"/>
    <numFmt numFmtId="168" formatCode="#,##0.000"/>
    <numFmt numFmtId="169" formatCode="#,##0.0000"/>
    <numFmt numFmtId="170" formatCode="#,##0.00000"/>
    <numFmt numFmtId="171" formatCode="#,##0.000000"/>
    <numFmt numFmtId="172" formatCode="dd MMM yyyy"/>
  </numFmts>
  <fonts count="5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等线"/>
      <family val="3"/>
      <charset val="134"/>
    </font>
    <font>
      <name val="Arial"/>
      <sz val="18.0"/>
      <b val="true"/>
      <color indexed="8"/>
    </font>
    <font>
      <name val="Arial"/>
      <sz val="10.0"/>
      <b val="true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9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b val="true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9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  <font>
      <name val="Arial"/>
      <sz val="10.0"/>
      <color indexed="8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566B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D247"/>
        <bgColor indexed="64"/>
      </patternFill>
    </fill>
    <fill>
      <patternFill patternType="solid">
        <fgColor rgb="FFFF5050"/>
        <bgColor indexed="64"/>
      </patternFill>
    </fill>
    <fill>
      <patternFill patternType="solid"/>
    </fill>
    <fill>
      <patternFill patternType="solid">
        <fgColor rgb="9566B9"/>
      </patternFill>
    </fill>
    <fill>
      <patternFill patternType="solid">
        <fgColor rgb="FFFF66"/>
      </patternFill>
    </fill>
    <fill>
      <patternFill patternType="solid">
        <fgColor rgb="FFD247"/>
      </patternFill>
    </fill>
    <fill>
      <patternFill patternType="solid">
        <fgColor rgb="FF5050"/>
      </patternFill>
    </fill>
    <fill>
      <patternFill patternType="solid">
        <fgColor rgb="CCFFFF"/>
      </patternFill>
    </fill>
    <fill>
      <patternFill patternType="solid">
        <fgColor rgb="00B0F0"/>
      </patternFill>
    </fill>
    <fill>
      <patternFill patternType="solid">
        <fgColor rgb="F4B084"/>
      </patternFill>
    </fill>
    <fill>
      <patternFill patternType="solid">
        <fgColor rgb="FCE4D6"/>
      </patternFill>
    </fill>
    <fill>
      <patternFill patternType="solid">
        <fgColor rgb="D9E1F2"/>
      </patternFill>
    </fill>
    <fill>
      <patternFill patternType="solid">
        <fgColor rgb="D9D9D9"/>
      </patternFill>
    </fill>
    <fill>
      <patternFill patternType="solid">
        <fgColor rgb="FFFFCC"/>
      </patternFill>
    </fill>
    <fill>
      <patternFill patternType="solid">
        <fgColor rgb="A6A6A6"/>
      </patternFill>
    </fill>
    <fill>
      <patternFill patternType="solid">
        <fgColor rgb="FFFF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top style="thin"/>
    </border>
    <border>
      <right style="thin"/>
      <top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2">
    <xf numFmtId="0" fontId="0" fillId="0" borderId="0">
      <alignment vertical="center"/>
    </xf>
    <xf numFmtId="0" fontId="3" fillId="0" borderId="0"/>
  </cellStyleXfs>
  <cellXfs count="50">
    <xf numFmtId="0" fontId="0" fillId="0" borderId="0" xfId="0">
      <alignment vertical="center"/>
    </xf>
    <xf numFmtId="0" fontId="4" fillId="2" borderId="0" xfId="1" applyFont="1" applyFill="1" applyAlignment="1" applyProtection="1">
      <alignment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/>
    </xf>
    <xf numFmtId="0" fontId="10" fillId="0" borderId="0" xfId="0" applyFont="true">
      <alignment vertical="center" horizontal="left" wrapText="false"/>
    </xf>
    <xf numFmtId="0" fontId="11" fillId="0" borderId="5" xfId="0" applyFont="true" applyBorder="true">
      <alignment vertical="center" horizontal="center" wrapText="false"/>
    </xf>
    <xf numFmtId="0" fontId="12" fillId="8" borderId="5" xfId="0" applyFont="true" applyFill="true" applyBorder="true">
      <alignment vertical="center" horizontal="center" wrapText="false"/>
    </xf>
    <xf numFmtId="0" fontId="13" fillId="0" borderId="5" xfId="0" applyFont="true" applyBorder="true">
      <alignment vertical="center" horizontal="center" wrapText="false"/>
    </xf>
    <xf numFmtId="0" fontId="14" fillId="9" borderId="5" xfId="0" applyFont="true" applyFill="true" applyBorder="true">
      <alignment vertical="center" horizontal="center" wrapText="false"/>
    </xf>
    <xf numFmtId="0" fontId="15" fillId="10" borderId="5" xfId="0" applyFont="true" applyFill="true" applyBorder="true">
      <alignment vertical="center" horizontal="center" wrapText="false"/>
    </xf>
    <xf numFmtId="0" fontId="16" fillId="11" borderId="5" xfId="0" applyFont="true" applyFill="true" applyBorder="true">
      <alignment vertical="center" horizontal="center" wrapText="false"/>
    </xf>
    <xf numFmtId="0" fontId="17" fillId="0" borderId="5" xfId="0" applyFont="true" applyBorder="true">
      <alignment vertical="center" horizontal="center" wrapText="true"/>
    </xf>
    <xf numFmtId="0" fontId="18" fillId="12" borderId="5" xfId="0" applyFont="true" applyFill="true" applyBorder="true">
      <alignment vertical="center" horizontal="center" wrapText="true"/>
    </xf>
    <xf numFmtId="0" fontId="19" fillId="13" borderId="5" xfId="0" applyFont="true" applyFill="true" applyBorder="true">
      <alignment vertical="center" horizontal="center" wrapText="true"/>
    </xf>
    <xf numFmtId="0" fontId="20" fillId="14" borderId="5" xfId="0" applyFont="true" applyFill="true" applyBorder="true">
      <alignment vertical="center" horizontal="center" wrapText="true"/>
    </xf>
    <xf numFmtId="0" fontId="21" fillId="15" borderId="5" xfId="0" applyFont="true" applyFill="true" applyBorder="true">
      <alignment vertical="center" horizontal="center" wrapText="true"/>
    </xf>
    <xf numFmtId="0" fontId="22" fillId="16" borderId="5" xfId="0" applyFont="true" applyFill="true" applyBorder="true">
      <alignment vertical="center" horizontal="center" wrapText="true"/>
    </xf>
    <xf numFmtId="0" fontId="23" fillId="17" borderId="5" xfId="0" applyFont="true" applyFill="true" applyBorder="true">
      <alignment vertical="center" horizontal="center" wrapText="true"/>
    </xf>
    <xf numFmtId="165" fontId="24" fillId="18" borderId="5" xfId="0" applyFont="true" applyNumberFormat="true" applyFill="true" applyBorder="true">
      <alignment vertical="center" horizontal="center" wrapText="true"/>
    </xf>
    <xf numFmtId="0" fontId="25" fillId="19" borderId="5" xfId="0" applyFont="true" applyFill="true" applyBorder="true">
      <alignment vertical="center" horizontal="left" wrapText="false"/>
    </xf>
    <xf numFmtId="0" fontId="26" fillId="0" borderId="5" xfId="0" applyFont="true" applyBorder="true">
      <alignment vertical="center" horizontal="left" wrapText="false"/>
    </xf>
    <xf numFmtId="166" fontId="27" fillId="0" borderId="5" xfId="0" applyFont="true" applyNumberFormat="true" applyBorder="true">
      <alignment vertical="center" horizontal="right" wrapText="false"/>
    </xf>
    <xf numFmtId="166" fontId="28" fillId="20" borderId="5" xfId="0" applyFont="true" applyNumberFormat="true" applyFill="true" applyBorder="true">
      <alignment vertical="center" horizontal="right" wrapText="false"/>
    </xf>
    <xf numFmtId="0" fontId="29" fillId="0" borderId="5" xfId="0" applyFont="true" applyBorder="true">
      <alignment vertical="center" horizontal="right" wrapText="false"/>
    </xf>
    <xf numFmtId="0" fontId="30" fillId="13" borderId="5" xfId="0" applyFont="true" applyFill="true" applyBorder="true">
      <alignment vertical="center" horizontal="right" wrapText="false"/>
    </xf>
    <xf numFmtId="3" fontId="31" fillId="8" borderId="5" xfId="0" applyFont="true" applyNumberFormat="true" applyFill="true" applyBorder="true">
      <alignment vertical="center" horizontal="right" wrapText="false"/>
    </xf>
    <xf numFmtId="3" fontId="32" fillId="9" borderId="5" xfId="0" applyFont="true" applyNumberFormat="true" applyFill="true" applyBorder="true">
      <alignment vertical="center" horizontal="right" wrapText="false"/>
    </xf>
    <xf numFmtId="3" fontId="33" fillId="10" borderId="5" xfId="0" applyFont="true" applyNumberFormat="true" applyFill="true" applyBorder="true">
      <alignment vertical="center" horizontal="right" wrapText="false"/>
    </xf>
    <xf numFmtId="3" fontId="34" fillId="11" borderId="5" xfId="0" applyFont="true" applyNumberFormat="true" applyFill="true" applyBorder="true">
      <alignment vertical="center" horizontal="right" wrapText="false"/>
    </xf>
    <xf numFmtId="3" fontId="35" fillId="0" borderId="5" xfId="0" applyFont="true" applyNumberFormat="true" applyBorder="true">
      <alignment vertical="center" horizontal="right" wrapText="false"/>
    </xf>
    <xf numFmtId="167" fontId="36" fillId="0" borderId="5" xfId="0" applyFont="true" applyNumberFormat="true" applyBorder="true">
      <alignment vertical="center" horizontal="right" wrapText="false"/>
    </xf>
    <xf numFmtId="4" fontId="37" fillId="0" borderId="5" xfId="0" applyFont="true" applyNumberFormat="true" applyBorder="true">
      <alignment vertical="center" horizontal="right" wrapText="false"/>
    </xf>
    <xf numFmtId="168" fontId="38" fillId="0" borderId="5" xfId="0" applyFont="true" applyNumberFormat="true" applyBorder="true">
      <alignment vertical="center" horizontal="right" wrapText="false"/>
    </xf>
    <xf numFmtId="169" fontId="39" fillId="0" borderId="5" xfId="0" applyFont="true" applyNumberFormat="true" applyBorder="true">
      <alignment vertical="center" horizontal="right" wrapText="false"/>
    </xf>
    <xf numFmtId="170" fontId="40" fillId="0" borderId="5" xfId="0" applyFont="true" applyNumberFormat="true" applyBorder="true">
      <alignment vertical="center" horizontal="right" wrapText="false"/>
    </xf>
    <xf numFmtId="171" fontId="41" fillId="0" borderId="5" xfId="0" applyFont="true" applyNumberFormat="true" applyBorder="true">
      <alignment vertical="center" horizontal="right" wrapText="false"/>
    </xf>
    <xf numFmtId="3" fontId="42" fillId="13" borderId="5" xfId="0" applyFont="true" applyNumberFormat="true" applyFill="true" applyBorder="true">
      <alignment vertical="center" horizontal="right" wrapText="false"/>
    </xf>
    <xf numFmtId="167" fontId="43" fillId="13" borderId="5" xfId="0" applyFont="true" applyNumberFormat="true" applyFill="true" applyBorder="true">
      <alignment vertical="center" horizontal="right" wrapText="false"/>
    </xf>
    <xf numFmtId="4" fontId="44" fillId="13" borderId="5" xfId="0" applyFont="true" applyNumberFormat="true" applyFill="true" applyBorder="true">
      <alignment vertical="center" horizontal="right" wrapText="false"/>
    </xf>
    <xf numFmtId="168" fontId="45" fillId="13" borderId="5" xfId="0" applyFont="true" applyNumberFormat="true" applyFill="true" applyBorder="true">
      <alignment vertical="center" horizontal="right" wrapText="false"/>
    </xf>
    <xf numFmtId="169" fontId="46" fillId="13" borderId="5" xfId="0" applyFont="true" applyNumberFormat="true" applyFill="true" applyBorder="true">
      <alignment vertical="center" horizontal="right" wrapText="false"/>
    </xf>
    <xf numFmtId="170" fontId="47" fillId="13" borderId="5" xfId="0" applyFont="true" applyNumberFormat="true" applyFill="true" applyBorder="true">
      <alignment vertical="center" horizontal="right" wrapText="false"/>
    </xf>
    <xf numFmtId="171" fontId="48" fillId="13" borderId="5" xfId="0" applyFont="true" applyNumberFormat="true" applyFill="true" applyBorder="true">
      <alignment vertical="center" horizontal="right" wrapText="false"/>
    </xf>
    <xf numFmtId="172" fontId="49" fillId="0" borderId="5" xfId="0" applyFont="true" applyNumberFormat="true" applyBorder="true">
      <alignment vertical="center" horizontal="left" wrapText="false"/>
    </xf>
  </cellXfs>
  <cellStyles count="2">
    <cellStyle name="Normal 2 2" xfId="1" xr:uid="{00000000-0005-0000-0000-000000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
<Relationships xmlns="http://schemas.openxmlformats.org/package/2006/relationships">
    <Relationship Id="rId1" Target="worksheets/sheet1.xml" Type="http://schemas.openxmlformats.org/officeDocument/2006/relationships/worksheet"/>
    <Relationship Id="rId2" Target="theme/theme1.xml" Type="http://schemas.openxmlformats.org/officeDocument/2006/relationships/theme"/>
    <Relationship Id="rId3" Target="styles.xml" Type="http://schemas.openxmlformats.org/officeDocument/2006/relationships/styles"/>
    <Relationship Id="rId4" Target="sharedStrings.xml" Type="http://schemas.openxmlformats.org/officeDocument/2006/relationships/sharedStrings"/>
    <Relationship Id="rId5" Target="vbaProject.bin" Type="http://schemas.microsoft.com/office/2006/relationships/vbaProject"/>
</Relationships>
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266700</xdr:colOff>
          <xdr:row>1</xdr:row>
          <xdr:rowOff>152400</xdr:rowOff>
        </xdr:from>
        <xdr:to>
          <xdr:col>29</xdr:col>
          <xdr:colOff>518160</xdr:colOff>
          <xdr:row>3</xdr:row>
          <xdr:rowOff>53340</xdr:rowOff>
        </xdr:to>
        <xdr:sp macro="" textlink="">
          <xdr:nvSpPr>
            <xdr:cNvPr id="1032" name="C_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266700</xdr:colOff>
          <xdr:row>1</xdr:row>
          <xdr:rowOff>152400</xdr:rowOff>
        </xdr:from>
        <xdr:to>
          <xdr:col>30</xdr:col>
          <xdr:colOff>518160</xdr:colOff>
          <xdr:row>3</xdr:row>
          <xdr:rowOff>53340</xdr:rowOff>
        </xdr:to>
        <xdr:sp macro="" textlink="">
          <xdr:nvSpPr>
            <xdr:cNvPr id="1033" name="C_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266700</xdr:colOff>
          <xdr:row>1</xdr:row>
          <xdr:rowOff>152400</xdr:rowOff>
        </xdr:from>
        <xdr:to>
          <xdr:col>31</xdr:col>
          <xdr:colOff>518160</xdr:colOff>
          <xdr:row>3</xdr:row>
          <xdr:rowOff>53340</xdr:rowOff>
        </xdr:to>
        <xdr:sp macro="" textlink="">
          <xdr:nvSpPr>
            <xdr:cNvPr id="1034" name="C_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266700</xdr:colOff>
          <xdr:row>1</xdr:row>
          <xdr:rowOff>152400</xdr:rowOff>
        </xdr:from>
        <xdr:to>
          <xdr:col>32</xdr:col>
          <xdr:colOff>518160</xdr:colOff>
          <xdr:row>3</xdr:row>
          <xdr:rowOff>53340</xdr:rowOff>
        </xdr:to>
        <xdr:sp macro="" textlink="">
          <xdr:nvSpPr>
            <xdr:cNvPr id="1035" name="C_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266700</xdr:colOff>
          <xdr:row>1</xdr:row>
          <xdr:rowOff>152400</xdr:rowOff>
        </xdr:from>
        <xdr:to>
          <xdr:col>33</xdr:col>
          <xdr:colOff>518160</xdr:colOff>
          <xdr:row>3</xdr:row>
          <xdr:rowOff>53340</xdr:rowOff>
        </xdr:to>
        <xdr:sp macro="" textlink="">
          <xdr:nvSpPr>
            <xdr:cNvPr id="1036" name="C_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266700</xdr:colOff>
          <xdr:row>1</xdr:row>
          <xdr:rowOff>152400</xdr:rowOff>
        </xdr:from>
        <xdr:to>
          <xdr:col>34</xdr:col>
          <xdr:colOff>518160</xdr:colOff>
          <xdr:row>3</xdr:row>
          <xdr:rowOff>53340</xdr:rowOff>
        </xdr:to>
        <xdr:sp macro="" textlink="">
          <xdr:nvSpPr>
            <xdr:cNvPr id="1037" name="C_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266700</xdr:colOff>
          <xdr:row>1</xdr:row>
          <xdr:rowOff>152400</xdr:rowOff>
        </xdr:from>
        <xdr:to>
          <xdr:col>35</xdr:col>
          <xdr:colOff>518160</xdr:colOff>
          <xdr:row>3</xdr:row>
          <xdr:rowOff>53340</xdr:rowOff>
        </xdr:to>
        <xdr:sp macro="" textlink="">
          <xdr:nvSpPr>
            <xdr:cNvPr id="1038" name="C_7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22860</xdr:colOff>
          <xdr:row>2</xdr:row>
          <xdr:rowOff>15240</xdr:rowOff>
        </xdr:from>
        <xdr:to>
          <xdr:col>36</xdr:col>
          <xdr:colOff>1043940</xdr:colOff>
          <xdr:row>2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
<Relationships xmlns="http://schemas.openxmlformats.org/package/2006/relationships">
    <Relationship Id="rId1" Target="../printerSettings/printerSettings1.bin" Type="http://schemas.openxmlformats.org/officeDocument/2006/relationships/printerSettings"/>
    <Relationship Id="rId10" Target="../ctrlProps/ctrlProp7.xml" Type="http://schemas.openxmlformats.org/officeDocument/2006/relationships/ctrlProp"/>
    <Relationship Id="rId11" Target="../ctrlProps/ctrlProp8.xml" Type="http://schemas.openxmlformats.org/officeDocument/2006/relationships/ctrlProp"/>
    <Relationship Id="rId2" Target="../drawings/drawing1.xml" Type="http://schemas.openxmlformats.org/officeDocument/2006/relationships/drawing"/>
    <Relationship Id="rId3" Target="../drawings/vmlDrawing1.vml" Type="http://schemas.openxmlformats.org/officeDocument/2006/relationships/vmlDrawing"/>
    <Relationship Id="rId4" Target="../ctrlProps/ctrlProp1.xml" Type="http://schemas.openxmlformats.org/officeDocument/2006/relationships/ctrlProp"/>
    <Relationship Id="rId5" Target="../ctrlProps/ctrlProp2.xml" Type="http://schemas.openxmlformats.org/officeDocument/2006/relationships/ctrlProp"/>
    <Relationship Id="rId6" Target="../ctrlProps/ctrlProp3.xml" Type="http://schemas.openxmlformats.org/officeDocument/2006/relationships/ctrlProp"/>
    <Relationship Id="rId7" Target="../ctrlProps/ctrlProp4.xml" Type="http://schemas.openxmlformats.org/officeDocument/2006/relationships/ctrlProp"/>
    <Relationship Id="rId8" Target="../ctrlProps/ctrlProp5.xml" Type="http://schemas.openxmlformats.org/officeDocument/2006/relationships/ctrlProp"/>
    <Relationship Id="rId9" Target="../ctrlProps/ctrlProp6.xml" Type="http://schemas.openxmlformats.org/officeDocument/2006/relationships/ctrlProp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C2:AK3"/>
  <sheetViews>
    <sheetView showGridLines="0" tabSelected="1" workbookViewId="0"/>
  </sheetViews>
  <sheetFormatPr defaultRowHeight="13.8" x14ac:dyDescent="0.25"/>
  <cols>
    <col min="29" max="29" customWidth="true" width="42.37890625" collapsed="true"/>
    <col min="127" max="127" width="0.0" customWidth="true"/>
    <col min="128" max="128" width="0.0" customWidth="true"/>
    <col min="129" max="129" width="0.0" customWidth="true"/>
    <col min="130" max="130" width="0.0" customWidth="true"/>
    <col min="131" max="131" width="0.0" customWidth="true"/>
    <col min="132" max="132" width="0.0" customWidth="true"/>
    <col min="1" max="1" width="8.25" customWidth="true"/>
    <col min="2" max="2" width="18.5" customWidth="true"/>
    <col min="3" max="3" width="18.5" customWidth="true"/>
    <col min="4" max="4" width="18.5" customWidth="true"/>
    <col min="5" max="5" width="16.37890625" customWidth="true"/>
    <col min="6" max="6" width="18.25" customWidth="true"/>
    <col min="7" max="7" width="18.25" customWidth="true"/>
    <col min="8" max="8" width="16.5" customWidth="true"/>
    <col min="9" max="9" width="16.5" customWidth="true"/>
    <col min="10" max="10" width="16.5" customWidth="true"/>
    <col min="11" max="11" width="16.5" customWidth="true"/>
    <col min="12" max="12" width="12.37890625" customWidth="true"/>
    <col min="13" max="13" width="12.37890625" customWidth="true"/>
    <col min="14" max="14" width="12.37890625" customWidth="true"/>
    <col min="15" max="15" width="11.37890625" customWidth="true"/>
    <col min="16" max="16" width="11.37890625" customWidth="true"/>
    <col min="17" max="17" width="14.5" customWidth="true"/>
    <col min="18" max="18" width="14.5" customWidth="true"/>
    <col min="19" max="19" width="14.5" customWidth="true"/>
    <col min="20" max="20" width="11.37890625" customWidth="true"/>
    <col min="21" max="21" width="11.37890625" customWidth="true"/>
    <col min="22" max="22" width="11.37890625" customWidth="true"/>
    <col min="23" max="23" width="11.37890625" customWidth="true"/>
    <col min="24" max="24" width="11.37890625" customWidth="true"/>
    <col min="25" max="25" width="10.5" customWidth="true"/>
    <col min="26" max="26" width="10.5" customWidth="true"/>
    <col min="27" max="27" width="15.87890625" customWidth="true"/>
    <col min="28" max="28" width="42.37890625" customWidth="true"/>
    <col min="31" max="31" width="11.37890625" customWidth="true"/>
    <col min="32" max="32" width="11.37890625" customWidth="true"/>
    <col min="33" max="33" width="11.37890625" customWidth="true"/>
    <col min="34" max="34" width="11.37890625" customWidth="true"/>
    <col min="35" max="35" width="11.37890625" customWidth="true"/>
    <col min="36" max="36" width="11.37890625" customWidth="true"/>
    <col min="37" max="37" width="11.37890625" customWidth="true"/>
    <col min="38" max="38" width="11.37890625" customWidth="true"/>
    <col min="39" max="39" width="11.37890625" customWidth="true"/>
    <col min="40" max="40" width="11.37890625" customWidth="true"/>
    <col min="41" max="41" width="11.37890625" customWidth="true"/>
    <col min="42" max="42" width="11.37890625" customWidth="true"/>
    <col min="43" max="43" width="11.37890625" customWidth="true"/>
    <col min="44" max="44" width="11.37890625" customWidth="true"/>
    <col min="45" max="45" width="11.37890625" customWidth="true"/>
    <col min="46" max="46" width="11.37890625" customWidth="true"/>
    <col min="47" max="47" width="11.37890625" customWidth="true"/>
    <col min="48" max="48" width="11.37890625" customWidth="true"/>
    <col min="49" max="49" width="11.37890625" customWidth="true"/>
    <col min="50" max="50" width="11.37890625" customWidth="true"/>
    <col min="51" max="51" width="11.37890625" customWidth="true"/>
    <col min="52" max="52" width="11.37890625" customWidth="true"/>
    <col min="53" max="53" width="11.37890625" customWidth="true"/>
    <col min="54" max="54" width="11.37890625" customWidth="true"/>
    <col min="55" max="55" width="11.37890625" customWidth="true"/>
    <col min="56" max="56" width="11.37890625" customWidth="true"/>
    <col min="57" max="57" width="11.37890625" customWidth="true"/>
    <col min="58" max="58" width="11.37890625" customWidth="true"/>
    <col min="59" max="59" width="11.37890625" customWidth="true"/>
    <col min="60" max="60" width="11.37890625" customWidth="true"/>
    <col min="61" max="61" width="11.37890625" customWidth="true"/>
    <col min="62" max="62" width="11.37890625" customWidth="true"/>
    <col min="63" max="63" width="11.37890625" customWidth="true"/>
    <col min="64" max="64" width="11.37890625" customWidth="true"/>
    <col min="65" max="65" width="11.37890625" customWidth="true"/>
    <col min="66" max="66" width="11.37890625" customWidth="true"/>
    <col min="67" max="67" width="11.37890625" customWidth="true"/>
    <col min="68" max="68" width="11.37890625" customWidth="true"/>
    <col min="69" max="69" width="11.37890625" customWidth="true"/>
    <col min="70" max="70" width="11.37890625" customWidth="true"/>
    <col min="71" max="71" width="11.37890625" customWidth="true"/>
    <col min="72" max="72" width="11.37890625" customWidth="true"/>
    <col min="73" max="73" width="11.37890625" customWidth="true"/>
    <col min="74" max="74" width="11.37890625" customWidth="true"/>
    <col min="75" max="75" width="11.37890625" customWidth="true"/>
    <col min="76" max="76" width="11.37890625" customWidth="true"/>
    <col min="77" max="77" width="11.37890625" customWidth="true"/>
    <col min="78" max="78" width="11.37890625" customWidth="true"/>
    <col min="79" max="79" width="11.37890625" customWidth="true"/>
    <col min="80" max="80" width="11.37890625" customWidth="true"/>
    <col min="81" max="81" width="11.37890625" customWidth="true"/>
    <col min="82" max="82" width="11.37890625" customWidth="true"/>
    <col min="83" max="83" width="11.37890625" customWidth="true"/>
    <col min="84" max="84" width="11.37890625" customWidth="true"/>
    <col min="85" max="85" width="11.37890625" customWidth="true"/>
    <col min="86" max="86" width="11.37890625" customWidth="true"/>
    <col min="87" max="87" width="11.37890625" customWidth="true"/>
    <col min="88" max="88" width="11.37890625" customWidth="true"/>
    <col min="89" max="89" width="11.37890625" customWidth="true"/>
    <col min="90" max="90" width="11.37890625" customWidth="true"/>
    <col min="91" max="91" width="11.37890625" customWidth="true"/>
    <col min="92" max="92" width="11.37890625" customWidth="true"/>
    <col min="93" max="93" width="11.37890625" customWidth="true"/>
    <col min="94" max="94" width="11.37890625" customWidth="true"/>
    <col min="95" max="95" width="11.37890625" customWidth="true"/>
    <col min="96" max="96" width="11.37890625" customWidth="true"/>
    <col min="97" max="97" width="11.37890625" customWidth="true"/>
    <col min="98" max="98" width="11.37890625" customWidth="true"/>
    <col min="99" max="99" width="11.37890625" customWidth="true"/>
    <col min="100" max="100" width="11.37890625" customWidth="true"/>
    <col min="101" max="101" width="11.37890625" customWidth="true"/>
    <col min="102" max="102" width="11.37890625" customWidth="true"/>
    <col min="103" max="103" width="11.37890625" customWidth="true"/>
    <col min="104" max="104" width="11.37890625" customWidth="true"/>
    <col min="105" max="105" width="11.37890625" customWidth="true"/>
    <col min="106" max="106" width="11.37890625" customWidth="true"/>
    <col min="107" max="107" width="11.37890625" customWidth="true"/>
    <col min="108" max="108" width="11.37890625" customWidth="true"/>
    <col min="109" max="109" width="11.37890625" customWidth="true"/>
    <col min="110" max="110" width="11.37890625" customWidth="true"/>
    <col min="111" max="111" width="11.37890625" customWidth="true"/>
    <col min="112" max="112" width="11.37890625" customWidth="true"/>
    <col min="113" max="113" width="11.37890625" customWidth="true"/>
    <col min="114" max="114" width="11.37890625" customWidth="true"/>
    <col min="115" max="115" width="11.37890625" customWidth="true"/>
    <col min="116" max="116" width="11.37890625" customWidth="true"/>
    <col min="117" max="117" width="11.37890625" customWidth="true"/>
    <col min="118" max="118" width="11.37890625" customWidth="true"/>
    <col min="119" max="119" width="11.37890625" customWidth="true"/>
    <col min="120" max="120" width="11.37890625" customWidth="true"/>
    <col min="121" max="121" width="11.37890625" customWidth="true"/>
    <col min="122" max="122" width="11.37890625" customWidth="true"/>
    <col min="123" max="123" width="11.37890625" customWidth="true"/>
    <col min="124" max="124" width="11.37890625" customWidth="true"/>
    <col min="125" max="125" width="11.37890625" customWidth="true"/>
    <col min="126" max="126" width="11.37890625" customWidth="true"/>
  </cols>
  <sheetData>
    <row r="1">
      <c r="A1" t="s" s="10">
        <v>9</v>
      </c>
    </row>
    <row r="2" spans="29:37" x14ac:dyDescent="0.25">
      <c r="AC2" s="9" t="s">
        <v>8</v>
      </c>
      <c r="AD2" s="2" t="s">
        <v>0</v>
      </c>
      <c r="AE2" s="3" t="s">
        <v>1</v>
      </c>
      <c r="AF2" s="4" t="s">
        <v>2</v>
      </c>
      <c r="AG2" s="5" t="s">
        <v>3</v>
      </c>
      <c r="AH2" s="6" t="s">
        <v>4</v>
      </c>
      <c r="AI2" s="7" t="s">
        <v>5</v>
      </c>
      <c r="AJ2" s="3" t="s">
        <v>6</v>
      </c>
      <c r="AK2" s="1"/>
    </row>
    <row r="3" spans="29:37" x14ac:dyDescent="0.25">
      <c r="AC3" s="9" t="s">
        <v>7</v>
      </c>
      <c r="AD3" s="8"/>
      <c r="AE3" s="8"/>
      <c r="AF3" s="8"/>
      <c r="AG3" s="8"/>
      <c r="AH3" s="8"/>
      <c r="AI3" s="8"/>
      <c r="AJ3" s="8"/>
      <c r="AK3" s="1"/>
    </row>
    <row r="5">
      <c r="AD5" t="s" s="23">
        <v>10</v>
      </c>
      <c r="AE5" s="23"/>
      <c r="AF5" s="23"/>
      <c r="AG5" s="23"/>
      <c r="AH5" t="s" s="23">
        <v>11</v>
      </c>
      <c r="AI5" s="23"/>
      <c r="AJ5" s="23"/>
      <c r="AK5" s="23"/>
      <c r="AL5" t="s" s="23">
        <v>12</v>
      </c>
      <c r="AM5" s="23"/>
      <c r="AN5" s="23"/>
      <c r="AO5" s="23"/>
      <c r="AP5" t="s" s="23">
        <v>13</v>
      </c>
      <c r="AQ5" s="23"/>
      <c r="AR5" s="23"/>
      <c r="AS5" s="23"/>
      <c r="AT5" t="s" s="23">
        <v>14</v>
      </c>
      <c r="AU5" s="23"/>
      <c r="AV5" s="23"/>
      <c r="AW5" s="23"/>
      <c r="AX5" t="s" s="23">
        <v>15</v>
      </c>
      <c r="AY5" s="23"/>
      <c r="AZ5" s="23"/>
      <c r="BA5" s="23"/>
      <c r="BB5" t="s" s="23">
        <v>16</v>
      </c>
      <c r="BC5" s="23"/>
      <c r="BD5" s="23"/>
      <c r="BE5" s="23"/>
      <c r="BF5" t="s" s="23">
        <v>17</v>
      </c>
      <c r="BG5" s="23"/>
      <c r="BH5" s="23"/>
      <c r="BI5" s="23"/>
      <c r="BJ5" t="s" s="23">
        <v>18</v>
      </c>
      <c r="BK5" s="23"/>
      <c r="BL5" s="23"/>
      <c r="BM5" s="23"/>
      <c r="BN5" t="s" s="23">
        <v>19</v>
      </c>
      <c r="BO5" s="23"/>
      <c r="BP5" s="23"/>
      <c r="BQ5" s="23"/>
      <c r="BR5" t="s" s="23">
        <v>20</v>
      </c>
      <c r="BS5" s="23"/>
      <c r="BT5" s="23"/>
      <c r="BU5" s="23"/>
      <c r="BV5" t="s" s="23">
        <v>21</v>
      </c>
      <c r="BW5" s="23"/>
      <c r="BX5" s="23"/>
      <c r="BY5" s="23"/>
      <c r="BZ5" t="s" s="23">
        <v>22</v>
      </c>
      <c r="CA5" s="23"/>
      <c r="CB5" s="23"/>
      <c r="CC5" s="23"/>
      <c r="CD5" t="s" s="23">
        <v>23</v>
      </c>
      <c r="CE5" s="23"/>
      <c r="CF5" s="23"/>
      <c r="CG5" s="23"/>
      <c r="CH5" t="s" s="23">
        <v>24</v>
      </c>
      <c r="CI5" s="23"/>
      <c r="CJ5" s="23"/>
      <c r="CK5" s="23"/>
      <c r="CL5" t="s" s="23">
        <v>25</v>
      </c>
      <c r="CM5" s="23"/>
      <c r="CN5" s="23"/>
      <c r="CO5" s="23"/>
      <c r="CP5" t="s" s="23">
        <v>26</v>
      </c>
      <c r="CQ5" s="23"/>
      <c r="CR5" s="23"/>
      <c r="CS5" s="23"/>
      <c r="CT5" t="s" s="23">
        <v>27</v>
      </c>
      <c r="CU5" s="23"/>
      <c r="CV5" s="23"/>
      <c r="CW5" s="23"/>
      <c r="CX5" t="s" s="23">
        <v>28</v>
      </c>
      <c r="CY5" s="23"/>
      <c r="CZ5" s="23"/>
      <c r="DA5" s="23"/>
      <c r="DB5" t="s" s="23">
        <v>29</v>
      </c>
      <c r="DC5" s="23"/>
      <c r="DD5" s="23"/>
      <c r="DE5" s="23"/>
      <c r="DF5" t="s" s="23">
        <v>30</v>
      </c>
      <c r="DG5" s="23"/>
      <c r="DH5" s="23"/>
      <c r="DI5" s="23"/>
      <c r="DJ5" t="s" s="23">
        <v>31</v>
      </c>
      <c r="DK5" s="23"/>
      <c r="DL5" s="23"/>
      <c r="DM5" s="23"/>
      <c r="DN5" t="s" s="23">
        <v>32</v>
      </c>
      <c r="DO5" s="23"/>
      <c r="DP5" s="23"/>
      <c r="DQ5" s="23"/>
      <c r="DR5" t="s" s="23">
        <v>33</v>
      </c>
      <c r="DS5" s="23"/>
      <c r="DT5" s="23"/>
      <c r="DU5" s="23"/>
    </row>
    <row r="6" ht="15.5" customHeight="true">
      <c r="Q6" t="s" s="20">
        <v>34</v>
      </c>
      <c r="R6" s="20"/>
      <c r="S6" s="20"/>
      <c r="T6" s="20"/>
      <c r="U6" s="20"/>
      <c r="V6" s="20"/>
      <c r="W6" s="20"/>
      <c r="X6" s="20"/>
      <c r="Y6" t="s" s="22">
        <v>35</v>
      </c>
      <c r="Z6" s="22"/>
      <c r="AA6" t="s" s="22">
        <v>36</v>
      </c>
      <c r="AB6" t="s" s="17">
        <v>37</v>
      </c>
      <c r="AC6" t="s" s="17">
        <v>38</v>
      </c>
      <c r="AD6" s="23"/>
      <c r="AE6" t="s" s="24">
        <v>39</v>
      </c>
      <c r="AF6" t="s" s="23">
        <v>40</v>
      </c>
      <c r="AG6" t="s" s="24">
        <v>41</v>
      </c>
      <c r="AH6" s="23"/>
      <c r="AI6" t="s" s="24">
        <v>42</v>
      </c>
      <c r="AJ6" t="s" s="23">
        <v>40</v>
      </c>
      <c r="AK6" t="s" s="24">
        <v>43</v>
      </c>
      <c r="AL6" s="23"/>
      <c r="AM6" t="s" s="24">
        <v>44</v>
      </c>
      <c r="AN6" t="s" s="23">
        <v>40</v>
      </c>
      <c r="AO6" t="s" s="24">
        <v>45</v>
      </c>
      <c r="AP6" s="23"/>
      <c r="AQ6" t="s" s="24">
        <v>46</v>
      </c>
      <c r="AR6" t="s" s="23">
        <v>40</v>
      </c>
      <c r="AS6" t="s" s="24">
        <v>47</v>
      </c>
      <c r="AT6" s="23"/>
      <c r="AU6" t="s" s="24">
        <v>48</v>
      </c>
      <c r="AV6" t="s" s="23">
        <v>40</v>
      </c>
      <c r="AW6" t="s" s="24">
        <v>49</v>
      </c>
      <c r="AX6" s="23"/>
      <c r="AY6" t="s" s="24">
        <v>50</v>
      </c>
      <c r="AZ6" t="s" s="23">
        <v>40</v>
      </c>
      <c r="BA6" t="s" s="24">
        <v>51</v>
      </c>
      <c r="BB6" s="23"/>
      <c r="BC6" t="s" s="24">
        <v>52</v>
      </c>
      <c r="BD6" t="s" s="23">
        <v>40</v>
      </c>
      <c r="BE6" t="s" s="24">
        <v>53</v>
      </c>
      <c r="BF6" s="23"/>
      <c r="BG6" t="s" s="24">
        <v>54</v>
      </c>
      <c r="BH6" t="s" s="23">
        <v>40</v>
      </c>
      <c r="BI6" t="s" s="24">
        <v>55</v>
      </c>
      <c r="BJ6" s="23"/>
      <c r="BK6" t="s" s="24">
        <v>56</v>
      </c>
      <c r="BL6" t="s" s="23">
        <v>40</v>
      </c>
      <c r="BM6" t="s" s="24">
        <v>57</v>
      </c>
      <c r="BN6" s="23"/>
      <c r="BO6" t="s" s="24">
        <v>58</v>
      </c>
      <c r="BP6" t="s" s="23">
        <v>40</v>
      </c>
      <c r="BQ6" t="s" s="24">
        <v>59</v>
      </c>
      <c r="BR6" s="23"/>
      <c r="BS6" t="s" s="24">
        <v>60</v>
      </c>
      <c r="BT6" t="s" s="23">
        <v>40</v>
      </c>
      <c r="BU6" t="s" s="24">
        <v>61</v>
      </c>
      <c r="BV6" s="23"/>
      <c r="BW6" t="s" s="24">
        <v>62</v>
      </c>
      <c r="BX6" t="s" s="23">
        <v>40</v>
      </c>
      <c r="BY6" t="s" s="24">
        <v>63</v>
      </c>
      <c r="BZ6" s="23"/>
      <c r="CA6" t="s" s="24">
        <v>64</v>
      </c>
      <c r="CB6" t="s" s="23">
        <v>40</v>
      </c>
      <c r="CC6" t="s" s="24">
        <v>65</v>
      </c>
      <c r="CD6" s="23"/>
      <c r="CE6" t="s" s="24">
        <v>66</v>
      </c>
      <c r="CF6" t="s" s="23">
        <v>40</v>
      </c>
      <c r="CG6" t="s" s="24">
        <v>67</v>
      </c>
      <c r="CH6" s="23"/>
      <c r="CI6" t="s" s="24">
        <v>68</v>
      </c>
      <c r="CJ6" t="s" s="23">
        <v>40</v>
      </c>
      <c r="CK6" t="s" s="24">
        <v>69</v>
      </c>
      <c r="CL6" s="23"/>
      <c r="CM6" t="s" s="24">
        <v>70</v>
      </c>
      <c r="CN6" t="s" s="23">
        <v>40</v>
      </c>
      <c r="CO6" t="s" s="24">
        <v>71</v>
      </c>
      <c r="CP6" s="23"/>
      <c r="CQ6" t="s" s="24">
        <v>72</v>
      </c>
      <c r="CR6" t="s" s="23">
        <v>40</v>
      </c>
      <c r="CS6" t="s" s="24">
        <v>73</v>
      </c>
      <c r="CT6" s="23"/>
      <c r="CU6" t="s" s="24">
        <v>74</v>
      </c>
      <c r="CV6" t="s" s="23">
        <v>40</v>
      </c>
      <c r="CW6" t="s" s="24">
        <v>75</v>
      </c>
      <c r="CX6" s="23"/>
      <c r="CY6" t="s" s="24">
        <v>76</v>
      </c>
      <c r="CZ6" t="s" s="23">
        <v>40</v>
      </c>
      <c r="DA6" t="s" s="24">
        <v>77</v>
      </c>
      <c r="DB6" s="23"/>
      <c r="DC6" t="s" s="24">
        <v>78</v>
      </c>
      <c r="DD6" t="s" s="23">
        <v>40</v>
      </c>
      <c r="DE6" t="s" s="24">
        <v>79</v>
      </c>
      <c r="DF6" s="23"/>
      <c r="DG6" t="s" s="24">
        <v>80</v>
      </c>
      <c r="DH6" t="s" s="23">
        <v>40</v>
      </c>
      <c r="DI6" t="s" s="24">
        <v>81</v>
      </c>
      <c r="DJ6" s="23"/>
      <c r="DK6" t="s" s="24">
        <v>82</v>
      </c>
      <c r="DL6" t="s" s="23">
        <v>40</v>
      </c>
      <c r="DM6" t="s" s="24">
        <v>83</v>
      </c>
      <c r="DN6" s="23"/>
      <c r="DO6" t="s" s="24">
        <v>84</v>
      </c>
      <c r="DP6" t="s" s="23">
        <v>40</v>
      </c>
      <c r="DQ6" t="s" s="24">
        <v>85</v>
      </c>
      <c r="DR6" s="23"/>
      <c r="DS6" t="s" s="24">
        <v>86</v>
      </c>
      <c r="DT6" t="s" s="23">
        <v>40</v>
      </c>
      <c r="DU6" t="s" s="24">
        <v>87</v>
      </c>
    </row>
    <row r="7" ht="51.0" customHeight="true">
      <c r="A7" t="s" s="18">
        <v>88</v>
      </c>
      <c r="B7" t="s" s="18">
        <v>89</v>
      </c>
      <c r="C7" t="s" s="18">
        <v>90</v>
      </c>
      <c r="D7" t="s" s="18">
        <v>91</v>
      </c>
      <c r="E7" t="s" s="18">
        <v>92</v>
      </c>
      <c r="F7" t="s" s="18">
        <v>93</v>
      </c>
      <c r="G7" t="s" s="18">
        <v>94</v>
      </c>
      <c r="H7" t="s" s="18">
        <v>95</v>
      </c>
      <c r="I7" t="s" s="18">
        <v>96</v>
      </c>
      <c r="J7" t="s" s="18">
        <v>97</v>
      </c>
      <c r="K7" t="s" s="18">
        <v>98</v>
      </c>
      <c r="L7" t="s" s="18">
        <v>99</v>
      </c>
      <c r="M7" t="s" s="18">
        <v>100</v>
      </c>
      <c r="N7" t="s" s="19">
        <v>101</v>
      </c>
      <c r="O7" t="s" s="19">
        <v>102</v>
      </c>
      <c r="P7" t="s" s="19">
        <v>103</v>
      </c>
      <c r="Q7" t="s" s="21">
        <v>104</v>
      </c>
      <c r="R7" t="s" s="21">
        <v>105</v>
      </c>
      <c r="S7" t="s" s="21">
        <v>106</v>
      </c>
      <c r="T7" t="s" s="21">
        <v>107</v>
      </c>
      <c r="U7" t="s" s="20">
        <v>108</v>
      </c>
      <c r="V7" t="s" s="20">
        <v>109</v>
      </c>
      <c r="W7" t="s" s="20">
        <v>110</v>
      </c>
      <c r="X7" t="s" s="20">
        <v>111</v>
      </c>
      <c r="Y7" t="s" s="22">
        <v>35</v>
      </c>
      <c r="Z7" t="s" s="22">
        <v>112</v>
      </c>
      <c r="AA7" s="22"/>
      <c r="AB7" s="17"/>
      <c r="AC7" s="17"/>
      <c r="AD7" t="s" s="17">
        <v>113</v>
      </c>
      <c r="AE7" t="s" s="17">
        <v>114</v>
      </c>
      <c r="AF7" t="s" s="17">
        <v>115</v>
      </c>
      <c r="AG7" t="s" s="17">
        <v>109</v>
      </c>
      <c r="AH7" t="s" s="17">
        <v>113</v>
      </c>
      <c r="AI7" t="s" s="17">
        <v>114</v>
      </c>
      <c r="AJ7" t="s" s="17">
        <v>115</v>
      </c>
      <c r="AK7" t="s" s="17">
        <v>109</v>
      </c>
      <c r="AL7" t="s" s="17">
        <v>113</v>
      </c>
      <c r="AM7" t="s" s="17">
        <v>114</v>
      </c>
      <c r="AN7" t="s" s="17">
        <v>115</v>
      </c>
      <c r="AO7" t="s" s="17">
        <v>109</v>
      </c>
      <c r="AP7" t="s" s="17">
        <v>113</v>
      </c>
      <c r="AQ7" t="s" s="17">
        <v>114</v>
      </c>
      <c r="AR7" t="s" s="17">
        <v>115</v>
      </c>
      <c r="AS7" t="s" s="17">
        <v>109</v>
      </c>
      <c r="AT7" t="s" s="17">
        <v>113</v>
      </c>
      <c r="AU7" t="s" s="17">
        <v>114</v>
      </c>
      <c r="AV7" t="s" s="17">
        <v>115</v>
      </c>
      <c r="AW7" t="s" s="17">
        <v>109</v>
      </c>
      <c r="AX7" t="s" s="17">
        <v>113</v>
      </c>
      <c r="AY7" t="s" s="17">
        <v>114</v>
      </c>
      <c r="AZ7" t="s" s="17">
        <v>115</v>
      </c>
      <c r="BA7" t="s" s="17">
        <v>109</v>
      </c>
      <c r="BB7" t="s" s="17">
        <v>113</v>
      </c>
      <c r="BC7" t="s" s="17">
        <v>114</v>
      </c>
      <c r="BD7" t="s" s="17">
        <v>115</v>
      </c>
      <c r="BE7" t="s" s="17">
        <v>109</v>
      </c>
      <c r="BF7" t="s" s="17">
        <v>113</v>
      </c>
      <c r="BG7" t="s" s="17">
        <v>114</v>
      </c>
      <c r="BH7" t="s" s="17">
        <v>115</v>
      </c>
      <c r="BI7" t="s" s="17">
        <v>109</v>
      </c>
      <c r="BJ7" t="s" s="17">
        <v>113</v>
      </c>
      <c r="BK7" t="s" s="17">
        <v>114</v>
      </c>
      <c r="BL7" t="s" s="17">
        <v>115</v>
      </c>
      <c r="BM7" t="s" s="17">
        <v>109</v>
      </c>
      <c r="BN7" t="s" s="17">
        <v>113</v>
      </c>
      <c r="BO7" t="s" s="17">
        <v>114</v>
      </c>
      <c r="BP7" t="s" s="17">
        <v>115</v>
      </c>
      <c r="BQ7" t="s" s="17">
        <v>109</v>
      </c>
      <c r="BR7" t="s" s="17">
        <v>113</v>
      </c>
      <c r="BS7" t="s" s="17">
        <v>114</v>
      </c>
      <c r="BT7" t="s" s="17">
        <v>115</v>
      </c>
      <c r="BU7" t="s" s="17">
        <v>109</v>
      </c>
      <c r="BV7" t="s" s="17">
        <v>113</v>
      </c>
      <c r="BW7" t="s" s="17">
        <v>114</v>
      </c>
      <c r="BX7" t="s" s="17">
        <v>115</v>
      </c>
      <c r="BY7" t="s" s="17">
        <v>109</v>
      </c>
      <c r="BZ7" t="s" s="17">
        <v>113</v>
      </c>
      <c r="CA7" t="s" s="17">
        <v>114</v>
      </c>
      <c r="CB7" t="s" s="17">
        <v>115</v>
      </c>
      <c r="CC7" t="s" s="17">
        <v>109</v>
      </c>
      <c r="CD7" t="s" s="17">
        <v>113</v>
      </c>
      <c r="CE7" t="s" s="17">
        <v>114</v>
      </c>
      <c r="CF7" t="s" s="17">
        <v>115</v>
      </c>
      <c r="CG7" t="s" s="17">
        <v>109</v>
      </c>
      <c r="CH7" t="s" s="17">
        <v>113</v>
      </c>
      <c r="CI7" t="s" s="17">
        <v>114</v>
      </c>
      <c r="CJ7" t="s" s="17">
        <v>115</v>
      </c>
      <c r="CK7" t="s" s="17">
        <v>109</v>
      </c>
      <c r="CL7" t="s" s="17">
        <v>113</v>
      </c>
      <c r="CM7" t="s" s="17">
        <v>114</v>
      </c>
      <c r="CN7" t="s" s="17">
        <v>115</v>
      </c>
      <c r="CO7" t="s" s="17">
        <v>109</v>
      </c>
      <c r="CP7" t="s" s="17">
        <v>113</v>
      </c>
      <c r="CQ7" t="s" s="17">
        <v>114</v>
      </c>
      <c r="CR7" t="s" s="17">
        <v>115</v>
      </c>
      <c r="CS7" t="s" s="17">
        <v>109</v>
      </c>
      <c r="CT7" t="s" s="17">
        <v>113</v>
      </c>
      <c r="CU7" t="s" s="17">
        <v>114</v>
      </c>
      <c r="CV7" t="s" s="17">
        <v>115</v>
      </c>
      <c r="CW7" t="s" s="17">
        <v>109</v>
      </c>
      <c r="CX7" t="s" s="17">
        <v>113</v>
      </c>
      <c r="CY7" t="s" s="17">
        <v>114</v>
      </c>
      <c r="CZ7" t="s" s="17">
        <v>115</v>
      </c>
      <c r="DA7" t="s" s="17">
        <v>109</v>
      </c>
      <c r="DB7" t="s" s="17">
        <v>113</v>
      </c>
      <c r="DC7" t="s" s="17">
        <v>114</v>
      </c>
      <c r="DD7" t="s" s="17">
        <v>115</v>
      </c>
      <c r="DE7" t="s" s="17">
        <v>109</v>
      </c>
      <c r="DF7" t="s" s="17">
        <v>113</v>
      </c>
      <c r="DG7" t="s" s="17">
        <v>114</v>
      </c>
      <c r="DH7" t="s" s="17">
        <v>115</v>
      </c>
      <c r="DI7" t="s" s="17">
        <v>109</v>
      </c>
      <c r="DJ7" t="s" s="17">
        <v>113</v>
      </c>
      <c r="DK7" t="s" s="17">
        <v>114</v>
      </c>
      <c r="DL7" t="s" s="17">
        <v>115</v>
      </c>
      <c r="DM7" t="s" s="17">
        <v>109</v>
      </c>
      <c r="DN7" t="s" s="17">
        <v>113</v>
      </c>
      <c r="DO7" t="s" s="17">
        <v>114</v>
      </c>
      <c r="DP7" t="s" s="17">
        <v>115</v>
      </c>
      <c r="DQ7" t="s" s="17">
        <v>109</v>
      </c>
      <c r="DR7" t="s" s="17">
        <v>113</v>
      </c>
      <c r="DS7" t="s" s="17">
        <v>114</v>
      </c>
      <c r="DT7" t="s" s="17">
        <v>115</v>
      </c>
      <c r="DU7" t="s" s="17">
        <v>109</v>
      </c>
    </row>
    <row r="8">
      <c r="A8" t="s" s="26">
        <v>116</v>
      </c>
      <c r="B8" t="s" s="26">
        <v>117</v>
      </c>
      <c r="C8" t="s" s="26">
        <v>118</v>
      </c>
      <c r="D8" t="s" s="26">
        <v>119</v>
      </c>
      <c r="E8" t="s" s="26">
        <v>120</v>
      </c>
      <c r="F8" t="s" s="26">
        <v>121</v>
      </c>
      <c r="G8" t="s" s="26">
        <v>122</v>
      </c>
      <c r="H8" t="s" s="26">
        <v>123</v>
      </c>
      <c r="I8" t="s" s="26">
        <v>124</v>
      </c>
      <c r="J8" s="26"/>
      <c r="K8" t="s" s="26">
        <v>124</v>
      </c>
      <c r="L8" t="n" s="35">
        <v>20.0</v>
      </c>
      <c r="M8" t="s" s="26">
        <v>125</v>
      </c>
      <c r="N8" s="49"/>
      <c r="O8" s="35"/>
      <c r="P8" s="35"/>
      <c r="Q8" t="n" s="35">
        <v>0.0</v>
      </c>
      <c r="R8" t="n" s="35">
        <v>0.0</v>
      </c>
      <c r="S8" t="n" s="35">
        <v>0.0</v>
      </c>
      <c r="T8" t="n" s="35">
        <v>0.0</v>
      </c>
      <c r="U8" s="35">
        <f>Q8-R8+S8-T8</f>
      </c>
      <c r="V8" s="29" t="s">
        <v>126</v>
      </c>
      <c r="W8" s="25"/>
      <c r="X8" t="s" s="16">
        <v>127</v>
      </c>
      <c r="Y8" t="n" s="35">
        <v>0.0</v>
      </c>
      <c r="Z8" t="n" s="27">
        <v>0.0</v>
      </c>
      <c r="AA8" t="n" s="35">
        <v>0.0</v>
      </c>
      <c r="AB8" s="26"/>
      <c r="AC8" s="26"/>
      <c r="AD8" t="n" s="35">
        <v>0.0</v>
      </c>
      <c r="AE8" t="n" s="35">
        <v>5903.18</v>
      </c>
      <c r="AF8" s="35">
        <f>U8+(AD8-0.000000)-(AE8-0.000000)</f>
      </c>
      <c r="AG8" t="s" s="34">
        <v>126</v>
      </c>
      <c r="AH8" t="n" s="35">
        <v>0.0</v>
      </c>
      <c r="AI8" t="n" s="35">
        <v>5900.0</v>
      </c>
      <c r="AJ8" s="35">
        <f>AF8+AH8-AI8</f>
      </c>
      <c r="AK8" t="s" s="34">
        <v>126</v>
      </c>
      <c r="AL8" t="n" s="35">
        <v>0.0</v>
      </c>
      <c r="AM8" t="n" s="35">
        <v>5900.0</v>
      </c>
      <c r="AN8" s="35">
        <f>AJ8+AL8-AM8</f>
      </c>
      <c r="AO8" t="s" s="34">
        <v>126</v>
      </c>
      <c r="AP8" t="n" s="35">
        <v>0.0</v>
      </c>
      <c r="AQ8" t="n" s="35">
        <v>5378.0</v>
      </c>
      <c r="AR8" s="35">
        <f>AN8+AP8-AQ8</f>
      </c>
      <c r="AS8" t="s" s="34">
        <v>126</v>
      </c>
      <c r="AT8" t="n" s="35">
        <v>0.0</v>
      </c>
      <c r="AU8" t="n" s="35">
        <v>5025.635</v>
      </c>
      <c r="AV8" s="35">
        <f>AR8+AT8-AU8</f>
      </c>
      <c r="AW8" t="s" s="34">
        <v>126</v>
      </c>
      <c r="AX8" t="n" s="35">
        <v>0.0</v>
      </c>
      <c r="AY8" t="n" s="35">
        <v>5025.0</v>
      </c>
      <c r="AZ8" s="35">
        <f>AV8+AX8-AY8</f>
      </c>
      <c r="BA8" t="s" s="34">
        <v>126</v>
      </c>
      <c r="BB8" t="n" s="35">
        <v>0.0</v>
      </c>
      <c r="BC8" t="n" s="35">
        <v>5025.0</v>
      </c>
      <c r="BD8" s="35">
        <f>AZ8+BB8-BC8</f>
      </c>
      <c r="BE8" t="s" s="34">
        <v>126</v>
      </c>
      <c r="BF8" t="n" s="35">
        <v>0.0</v>
      </c>
      <c r="BG8" t="n" s="35">
        <v>4020.0</v>
      </c>
      <c r="BH8" s="35">
        <f>BD8+BF8-BG8</f>
      </c>
      <c r="BI8" t="s" s="34">
        <v>126</v>
      </c>
      <c r="BJ8" t="n" s="35">
        <v>0.0</v>
      </c>
      <c r="BK8" t="s" s="35">
        <v>5</v>
      </c>
      <c r="BL8" t="s" s="35">
        <v>128</v>
      </c>
      <c r="BM8" t="s" s="35">
        <v>128</v>
      </c>
      <c r="BN8" t="n" s="35">
        <v>0.0</v>
      </c>
      <c r="BO8" t="s" s="35">
        <v>5</v>
      </c>
      <c r="BP8" t="s" s="35">
        <v>128</v>
      </c>
      <c r="BQ8" t="s" s="35">
        <v>128</v>
      </c>
      <c r="BR8" t="n" s="35">
        <v>0.0</v>
      </c>
      <c r="BS8" t="s" s="35">
        <v>5</v>
      </c>
      <c r="BT8" t="s" s="35">
        <v>128</v>
      </c>
      <c r="BU8" t="s" s="35">
        <v>128</v>
      </c>
      <c r="BV8" t="n" s="35">
        <v>0.0</v>
      </c>
      <c r="BW8" t="s" s="35">
        <v>5</v>
      </c>
      <c r="BX8" t="s" s="35">
        <v>128</v>
      </c>
      <c r="BY8" t="s" s="35">
        <v>128</v>
      </c>
      <c r="BZ8" t="n" s="35">
        <v>0.0</v>
      </c>
      <c r="CA8" t="s" s="35">
        <v>5</v>
      </c>
      <c r="CB8" t="s" s="35">
        <v>128</v>
      </c>
      <c r="CC8" t="s" s="35">
        <v>128</v>
      </c>
      <c r="CD8" t="n" s="35">
        <v>0.0</v>
      </c>
      <c r="CE8" t="s" s="35">
        <v>5</v>
      </c>
      <c r="CF8" t="s" s="35">
        <v>128</v>
      </c>
      <c r="CG8" t="s" s="35">
        <v>128</v>
      </c>
      <c r="CH8" t="n" s="35">
        <v>0.0</v>
      </c>
      <c r="CI8" t="s" s="35">
        <v>5</v>
      </c>
      <c r="CJ8" t="s" s="35">
        <v>128</v>
      </c>
      <c r="CK8" t="s" s="35">
        <v>128</v>
      </c>
      <c r="CL8" t="n" s="35">
        <v>0.0</v>
      </c>
      <c r="CM8" t="s" s="35">
        <v>5</v>
      </c>
      <c r="CN8" t="s" s="35">
        <v>128</v>
      </c>
      <c r="CO8" t="s" s="35">
        <v>128</v>
      </c>
      <c r="CP8" t="n" s="35">
        <v>0.0</v>
      </c>
      <c r="CQ8" t="s" s="35">
        <v>5</v>
      </c>
      <c r="CR8" t="s" s="35">
        <v>128</v>
      </c>
      <c r="CS8" t="s" s="35">
        <v>128</v>
      </c>
      <c r="CT8" t="n" s="35">
        <v>0.0</v>
      </c>
      <c r="CU8" t="s" s="35">
        <v>5</v>
      </c>
      <c r="CV8" t="s" s="35">
        <v>128</v>
      </c>
      <c r="CW8" t="s" s="35">
        <v>128</v>
      </c>
      <c r="CX8" t="n" s="35">
        <v>0.0</v>
      </c>
      <c r="CY8" t="s" s="35">
        <v>5</v>
      </c>
      <c r="CZ8" t="s" s="35">
        <v>128</v>
      </c>
      <c r="DA8" t="s" s="35">
        <v>128</v>
      </c>
      <c r="DB8" t="n" s="35">
        <v>0.0</v>
      </c>
      <c r="DC8" t="s" s="35">
        <v>5</v>
      </c>
      <c r="DD8" t="s" s="35">
        <v>128</v>
      </c>
      <c r="DE8" t="s" s="35">
        <v>128</v>
      </c>
      <c r="DF8" t="n" s="35">
        <v>0.0</v>
      </c>
      <c r="DG8" t="s" s="35">
        <v>5</v>
      </c>
      <c r="DH8" t="s" s="35">
        <v>128</v>
      </c>
      <c r="DI8" t="s" s="35">
        <v>128</v>
      </c>
      <c r="DJ8" t="n" s="35">
        <v>0.0</v>
      </c>
      <c r="DK8" t="s" s="35">
        <v>5</v>
      </c>
      <c r="DL8" t="s" s="35">
        <v>128</v>
      </c>
      <c r="DM8" t="s" s="35">
        <v>128</v>
      </c>
      <c r="DN8" t="n" s="35">
        <v>0.0</v>
      </c>
      <c r="DO8" t="s" s="35">
        <v>5</v>
      </c>
      <c r="DP8" t="s" s="35">
        <v>128</v>
      </c>
      <c r="DQ8" t="s" s="35">
        <v>128</v>
      </c>
      <c r="DR8" t="n" s="35">
        <v>0.0</v>
      </c>
      <c r="DS8" t="s" s="35">
        <v>5</v>
      </c>
      <c r="DT8" t="s" s="35">
        <v>128</v>
      </c>
      <c r="DU8" t="s" s="35">
        <v>128</v>
      </c>
      <c r="DW8" t="n" s="35">
        <v>0.0</v>
      </c>
      <c r="DX8" t="n" s="35">
        <v>20.0</v>
      </c>
      <c r="DY8" s="35"/>
      <c r="DZ8" s="35"/>
      <c r="EA8" t="n" s="35">
        <v>9.0</v>
      </c>
      <c r="EB8" t="n" s="35">
        <v>20.0</v>
      </c>
    </row>
    <row r="9">
      <c r="A9" t="s" s="26">
        <v>129</v>
      </c>
      <c r="B9" t="s" s="26">
        <v>130</v>
      </c>
      <c r="C9" t="s" s="26">
        <v>118</v>
      </c>
      <c r="D9" t="s" s="26">
        <v>131</v>
      </c>
      <c r="E9" t="s" s="26">
        <v>120</v>
      </c>
      <c r="F9" t="s" s="26">
        <v>132</v>
      </c>
      <c r="G9" t="s" s="26">
        <v>122</v>
      </c>
      <c r="H9" t="s" s="26">
        <v>123</v>
      </c>
      <c r="I9" t="s" s="26">
        <v>124</v>
      </c>
      <c r="J9" s="26"/>
      <c r="K9" t="s" s="26">
        <v>124</v>
      </c>
      <c r="L9" t="n" s="37">
        <v>6000.0</v>
      </c>
      <c r="M9" t="s" s="26">
        <v>125</v>
      </c>
      <c r="N9" s="49"/>
      <c r="O9" s="37"/>
      <c r="P9" s="37"/>
      <c r="Q9" t="n" s="37">
        <v>0.0</v>
      </c>
      <c r="R9" t="n" s="37">
        <v>0.0</v>
      </c>
      <c r="S9" t="n" s="37">
        <v>0.0</v>
      </c>
      <c r="T9" t="n" s="37">
        <v>0.0</v>
      </c>
      <c r="U9" s="37">
        <f>Q9-R9+S9-T9</f>
      </c>
      <c r="V9" s="29" t="s">
        <v>126</v>
      </c>
      <c r="W9" s="25"/>
      <c r="X9" t="s" s="16">
        <v>127</v>
      </c>
      <c r="Y9" t="n" s="37">
        <v>0.0</v>
      </c>
      <c r="Z9" t="n" s="27">
        <v>0.0</v>
      </c>
      <c r="AA9" t="n" s="37">
        <v>0.0</v>
      </c>
      <c r="AB9" s="26"/>
      <c r="AC9" s="26"/>
      <c r="AD9" t="n" s="37">
        <v>0.0</v>
      </c>
      <c r="AE9" t="n" s="37">
        <v>4535.0</v>
      </c>
      <c r="AF9" s="37">
        <f>U9+(AD9-0.000000)-(AE9-0.000000)</f>
      </c>
      <c r="AG9" t="s" s="34">
        <v>126</v>
      </c>
      <c r="AH9" t="n" s="37">
        <v>0.0</v>
      </c>
      <c r="AI9" t="n" s="37">
        <v>4532.544</v>
      </c>
      <c r="AJ9" s="37">
        <f>AF9+AH9-AI9</f>
      </c>
      <c r="AK9" t="s" s="34">
        <v>126</v>
      </c>
      <c r="AL9" t="n" s="37">
        <v>0.0</v>
      </c>
      <c r="AM9" t="n" s="37">
        <v>4530.0</v>
      </c>
      <c r="AN9" s="37">
        <f>AJ9+AL9-AM9</f>
      </c>
      <c r="AO9" t="s" s="34">
        <v>126</v>
      </c>
      <c r="AP9" t="n" s="37">
        <v>0.0</v>
      </c>
      <c r="AQ9" t="n" s="37">
        <v>4113.0</v>
      </c>
      <c r="AR9" s="37">
        <f>AN9+AP9-AQ9</f>
      </c>
      <c r="AS9" t="s" s="34">
        <v>126</v>
      </c>
      <c r="AT9" t="n" s="37">
        <v>0.0</v>
      </c>
      <c r="AU9" t="n" s="37">
        <v>3835.0</v>
      </c>
      <c r="AV9" s="37">
        <f>AR9+AT9-AU9</f>
      </c>
      <c r="AW9" t="s" s="34">
        <v>126</v>
      </c>
      <c r="AX9" t="n" s="37">
        <v>0.0</v>
      </c>
      <c r="AY9" t="n" s="37">
        <v>3830.908</v>
      </c>
      <c r="AZ9" s="37">
        <f>AV9+AX9-AY9</f>
      </c>
      <c r="BA9" t="s" s="34">
        <v>126</v>
      </c>
      <c r="BB9" t="n" s="37">
        <v>0.0</v>
      </c>
      <c r="BC9" t="n" s="37">
        <v>3830.0</v>
      </c>
      <c r="BD9" s="37">
        <f>AZ9+BB9-BC9</f>
      </c>
      <c r="BE9" t="s" s="34">
        <v>126</v>
      </c>
      <c r="BF9" t="n" s="37">
        <v>0.0</v>
      </c>
      <c r="BG9" t="n" s="37">
        <v>3064.0</v>
      </c>
      <c r="BH9" s="37">
        <f>BD9+BF9-BG9</f>
      </c>
      <c r="BI9" t="s" s="34">
        <v>126</v>
      </c>
      <c r="BJ9" t="n" s="37">
        <v>0.0</v>
      </c>
      <c r="BK9" t="s" s="37">
        <v>5</v>
      </c>
      <c r="BL9" t="s" s="37">
        <v>128</v>
      </c>
      <c r="BM9" t="s" s="37">
        <v>128</v>
      </c>
      <c r="BN9" t="n" s="37">
        <v>0.0</v>
      </c>
      <c r="BO9" t="s" s="37">
        <v>5</v>
      </c>
      <c r="BP9" t="s" s="37">
        <v>128</v>
      </c>
      <c r="BQ9" t="s" s="37">
        <v>128</v>
      </c>
      <c r="BR9" t="n" s="37">
        <v>0.0</v>
      </c>
      <c r="BS9" t="s" s="37">
        <v>5</v>
      </c>
      <c r="BT9" t="s" s="37">
        <v>128</v>
      </c>
      <c r="BU9" t="s" s="37">
        <v>128</v>
      </c>
      <c r="BV9" t="n" s="37">
        <v>0.0</v>
      </c>
      <c r="BW9" t="s" s="37">
        <v>5</v>
      </c>
      <c r="BX9" t="s" s="37">
        <v>128</v>
      </c>
      <c r="BY9" t="s" s="37">
        <v>128</v>
      </c>
      <c r="BZ9" t="n" s="37">
        <v>0.0</v>
      </c>
      <c r="CA9" t="s" s="37">
        <v>5</v>
      </c>
      <c r="CB9" t="s" s="37">
        <v>128</v>
      </c>
      <c r="CC9" t="s" s="37">
        <v>128</v>
      </c>
      <c r="CD9" t="n" s="37">
        <v>0.0</v>
      </c>
      <c r="CE9" t="s" s="37">
        <v>5</v>
      </c>
      <c r="CF9" t="s" s="37">
        <v>128</v>
      </c>
      <c r="CG9" t="s" s="37">
        <v>128</v>
      </c>
      <c r="CH9" t="n" s="37">
        <v>0.0</v>
      </c>
      <c r="CI9" t="s" s="37">
        <v>5</v>
      </c>
      <c r="CJ9" t="s" s="37">
        <v>128</v>
      </c>
      <c r="CK9" t="s" s="37">
        <v>128</v>
      </c>
      <c r="CL9" t="n" s="37">
        <v>0.0</v>
      </c>
      <c r="CM9" t="s" s="37">
        <v>5</v>
      </c>
      <c r="CN9" t="s" s="37">
        <v>128</v>
      </c>
      <c r="CO9" t="s" s="37">
        <v>128</v>
      </c>
      <c r="CP9" t="n" s="37">
        <v>0.0</v>
      </c>
      <c r="CQ9" t="s" s="37">
        <v>5</v>
      </c>
      <c r="CR9" t="s" s="37">
        <v>128</v>
      </c>
      <c r="CS9" t="s" s="37">
        <v>128</v>
      </c>
      <c r="CT9" t="n" s="37">
        <v>0.0</v>
      </c>
      <c r="CU9" t="s" s="37">
        <v>5</v>
      </c>
      <c r="CV9" t="s" s="37">
        <v>128</v>
      </c>
      <c r="CW9" t="s" s="37">
        <v>128</v>
      </c>
      <c r="CX9" t="n" s="37">
        <v>0.0</v>
      </c>
      <c r="CY9" t="s" s="37">
        <v>5</v>
      </c>
      <c r="CZ9" t="s" s="37">
        <v>128</v>
      </c>
      <c r="DA9" t="s" s="37">
        <v>128</v>
      </c>
      <c r="DB9" t="n" s="37">
        <v>0.0</v>
      </c>
      <c r="DC9" t="s" s="37">
        <v>5</v>
      </c>
      <c r="DD9" t="s" s="37">
        <v>128</v>
      </c>
      <c r="DE9" t="s" s="37">
        <v>128</v>
      </c>
      <c r="DF9" t="n" s="37">
        <v>0.0</v>
      </c>
      <c r="DG9" t="s" s="37">
        <v>5</v>
      </c>
      <c r="DH9" t="s" s="37">
        <v>128</v>
      </c>
      <c r="DI9" t="s" s="37">
        <v>128</v>
      </c>
      <c r="DJ9" t="n" s="37">
        <v>0.0</v>
      </c>
      <c r="DK9" t="s" s="37">
        <v>5</v>
      </c>
      <c r="DL9" t="s" s="37">
        <v>128</v>
      </c>
      <c r="DM9" t="s" s="37">
        <v>128</v>
      </c>
      <c r="DN9" t="n" s="37">
        <v>0.0</v>
      </c>
      <c r="DO9" t="s" s="37">
        <v>5</v>
      </c>
      <c r="DP9" t="s" s="37">
        <v>128</v>
      </c>
      <c r="DQ9" t="s" s="37">
        <v>128</v>
      </c>
      <c r="DR9" t="n" s="37">
        <v>0.0</v>
      </c>
      <c r="DS9" t="s" s="37">
        <v>5</v>
      </c>
      <c r="DT9" t="s" s="37">
        <v>128</v>
      </c>
      <c r="DU9" t="s" s="37">
        <v>128</v>
      </c>
      <c r="DW9" t="n" s="37">
        <v>0.0</v>
      </c>
      <c r="DX9" t="n" s="37">
        <v>6000.0</v>
      </c>
      <c r="DY9" s="37"/>
      <c r="DZ9" s="37"/>
      <c r="EA9" t="n" s="37">
        <v>9.0</v>
      </c>
      <c r="EB9" t="n" s="37">
        <v>20.0</v>
      </c>
    </row>
    <row r="10">
      <c r="A10" t="s" s="26">
        <v>133</v>
      </c>
      <c r="B10" t="s" s="26">
        <v>134</v>
      </c>
      <c r="C10" t="s" s="26">
        <v>118</v>
      </c>
      <c r="D10" t="s" s="26">
        <v>135</v>
      </c>
      <c r="E10" t="s" s="26">
        <v>120</v>
      </c>
      <c r="F10" t="s" s="26">
        <v>136</v>
      </c>
      <c r="G10" t="s" s="26">
        <v>122</v>
      </c>
      <c r="H10" t="s" s="26">
        <v>123</v>
      </c>
      <c r="I10" t="s" s="26">
        <v>124</v>
      </c>
      <c r="J10" s="26"/>
      <c r="K10" t="s" s="26">
        <v>124</v>
      </c>
      <c r="L10" t="n" s="37">
        <v>1500.0</v>
      </c>
      <c r="M10" t="s" s="26">
        <v>125</v>
      </c>
      <c r="N10" s="49"/>
      <c r="O10" s="37"/>
      <c r="P10" s="37"/>
      <c r="Q10" t="n" s="37">
        <v>0.0</v>
      </c>
      <c r="R10" t="n" s="37">
        <v>0.0</v>
      </c>
      <c r="S10" t="n" s="37">
        <v>0.0</v>
      </c>
      <c r="T10" t="n" s="37">
        <v>0.0</v>
      </c>
      <c r="U10" s="37">
        <f>Q10-R10+S10-T10</f>
      </c>
      <c r="V10" s="29" t="s">
        <v>126</v>
      </c>
      <c r="W10" s="25"/>
      <c r="X10" t="s" s="16">
        <v>127</v>
      </c>
      <c r="Y10" t="n" s="37">
        <v>0.0</v>
      </c>
      <c r="Z10" t="n" s="27">
        <v>0.0</v>
      </c>
      <c r="AA10" t="n" s="37">
        <v>0.0</v>
      </c>
      <c r="AB10" s="26"/>
      <c r="AC10" s="26"/>
      <c r="AD10" t="n" s="37">
        <v>0.0</v>
      </c>
      <c r="AE10" t="n" s="37">
        <v>3410.0</v>
      </c>
      <c r="AF10" s="37">
        <f>U10+(AD10-0.000000)-(AE10-0.000000)</f>
      </c>
      <c r="AG10" t="s" s="34">
        <v>126</v>
      </c>
      <c r="AH10" t="n" s="37">
        <v>0.0</v>
      </c>
      <c r="AI10" t="n" s="37">
        <v>3410.0</v>
      </c>
      <c r="AJ10" s="37">
        <f>AF10+AH10-AI10</f>
      </c>
      <c r="AK10" t="s" s="34">
        <v>126</v>
      </c>
      <c r="AL10" t="n" s="37">
        <v>0.0</v>
      </c>
      <c r="AM10" t="n" s="37">
        <v>3405.558</v>
      </c>
      <c r="AN10" s="37">
        <f>AJ10+AL10-AM10</f>
      </c>
      <c r="AO10" t="s" s="34">
        <v>126</v>
      </c>
      <c r="AP10" t="n" s="37">
        <v>0.0</v>
      </c>
      <c r="AQ10" t="n" s="37">
        <v>3093.0</v>
      </c>
      <c r="AR10" s="37">
        <f>AN10+AP10-AQ10</f>
      </c>
      <c r="AS10" t="s" s="34">
        <v>126</v>
      </c>
      <c r="AT10" t="n" s="37">
        <v>0.0</v>
      </c>
      <c r="AU10" t="n" s="37">
        <v>2885.0</v>
      </c>
      <c r="AV10" s="37">
        <f>AR10+AT10-AU10</f>
      </c>
      <c r="AW10" t="s" s="34">
        <v>126</v>
      </c>
      <c r="AX10" t="n" s="37">
        <v>0.0</v>
      </c>
      <c r="AY10" t="n" s="37">
        <v>2884.831</v>
      </c>
      <c r="AZ10" s="37">
        <f>AV10+AX10-AY10</f>
      </c>
      <c r="BA10" t="s" s="34">
        <v>126</v>
      </c>
      <c r="BB10" t="n" s="37">
        <v>0.0</v>
      </c>
      <c r="BC10" t="n" s="37">
        <v>2880.0</v>
      </c>
      <c r="BD10" s="37">
        <f>AZ10+BB10-BC10</f>
      </c>
      <c r="BE10" t="s" s="34">
        <v>126</v>
      </c>
      <c r="BF10" t="n" s="37">
        <v>0.0</v>
      </c>
      <c r="BG10" t="n" s="37">
        <v>2304.0</v>
      </c>
      <c r="BH10" s="37">
        <f>BD10+BF10-BG10</f>
      </c>
      <c r="BI10" t="s" s="34">
        <v>126</v>
      </c>
      <c r="BJ10" t="n" s="37">
        <v>0.0</v>
      </c>
      <c r="BK10" t="s" s="37">
        <v>5</v>
      </c>
      <c r="BL10" t="s" s="37">
        <v>128</v>
      </c>
      <c r="BM10" t="s" s="37">
        <v>128</v>
      </c>
      <c r="BN10" t="n" s="37">
        <v>0.0</v>
      </c>
      <c r="BO10" t="s" s="37">
        <v>5</v>
      </c>
      <c r="BP10" t="s" s="37">
        <v>128</v>
      </c>
      <c r="BQ10" t="s" s="37">
        <v>128</v>
      </c>
      <c r="BR10" t="n" s="37">
        <v>0.0</v>
      </c>
      <c r="BS10" t="s" s="37">
        <v>5</v>
      </c>
      <c r="BT10" t="s" s="37">
        <v>128</v>
      </c>
      <c r="BU10" t="s" s="37">
        <v>128</v>
      </c>
      <c r="BV10" t="n" s="37">
        <v>0.0</v>
      </c>
      <c r="BW10" t="s" s="37">
        <v>5</v>
      </c>
      <c r="BX10" t="s" s="37">
        <v>128</v>
      </c>
      <c r="BY10" t="s" s="37">
        <v>128</v>
      </c>
      <c r="BZ10" t="n" s="37">
        <v>0.0</v>
      </c>
      <c r="CA10" t="s" s="37">
        <v>5</v>
      </c>
      <c r="CB10" t="s" s="37">
        <v>128</v>
      </c>
      <c r="CC10" t="s" s="37">
        <v>128</v>
      </c>
      <c r="CD10" t="n" s="37">
        <v>0.0</v>
      </c>
      <c r="CE10" t="s" s="37">
        <v>5</v>
      </c>
      <c r="CF10" t="s" s="37">
        <v>128</v>
      </c>
      <c r="CG10" t="s" s="37">
        <v>128</v>
      </c>
      <c r="CH10" t="n" s="37">
        <v>0.0</v>
      </c>
      <c r="CI10" t="s" s="37">
        <v>5</v>
      </c>
      <c r="CJ10" t="s" s="37">
        <v>128</v>
      </c>
      <c r="CK10" t="s" s="37">
        <v>128</v>
      </c>
      <c r="CL10" t="n" s="37">
        <v>0.0</v>
      </c>
      <c r="CM10" t="s" s="37">
        <v>5</v>
      </c>
      <c r="CN10" t="s" s="37">
        <v>128</v>
      </c>
      <c r="CO10" t="s" s="37">
        <v>128</v>
      </c>
      <c r="CP10" t="n" s="37">
        <v>0.0</v>
      </c>
      <c r="CQ10" t="s" s="37">
        <v>5</v>
      </c>
      <c r="CR10" t="s" s="37">
        <v>128</v>
      </c>
      <c r="CS10" t="s" s="37">
        <v>128</v>
      </c>
      <c r="CT10" t="n" s="37">
        <v>0.0</v>
      </c>
      <c r="CU10" t="s" s="37">
        <v>5</v>
      </c>
      <c r="CV10" t="s" s="37">
        <v>128</v>
      </c>
      <c r="CW10" t="s" s="37">
        <v>128</v>
      </c>
      <c r="CX10" t="n" s="37">
        <v>0.0</v>
      </c>
      <c r="CY10" t="s" s="37">
        <v>5</v>
      </c>
      <c r="CZ10" t="s" s="37">
        <v>128</v>
      </c>
      <c r="DA10" t="s" s="37">
        <v>128</v>
      </c>
      <c r="DB10" t="n" s="37">
        <v>0.0</v>
      </c>
      <c r="DC10" t="s" s="37">
        <v>5</v>
      </c>
      <c r="DD10" t="s" s="37">
        <v>128</v>
      </c>
      <c r="DE10" t="s" s="37">
        <v>128</v>
      </c>
      <c r="DF10" t="n" s="37">
        <v>0.0</v>
      </c>
      <c r="DG10" t="s" s="37">
        <v>5</v>
      </c>
      <c r="DH10" t="s" s="37">
        <v>128</v>
      </c>
      <c r="DI10" t="s" s="37">
        <v>128</v>
      </c>
      <c r="DJ10" t="n" s="37">
        <v>0.0</v>
      </c>
      <c r="DK10" t="s" s="37">
        <v>5</v>
      </c>
      <c r="DL10" t="s" s="37">
        <v>128</v>
      </c>
      <c r="DM10" t="s" s="37">
        <v>128</v>
      </c>
      <c r="DN10" t="n" s="37">
        <v>0.0</v>
      </c>
      <c r="DO10" t="s" s="37">
        <v>5</v>
      </c>
      <c r="DP10" t="s" s="37">
        <v>128</v>
      </c>
      <c r="DQ10" t="s" s="37">
        <v>128</v>
      </c>
      <c r="DR10" t="n" s="37">
        <v>0.0</v>
      </c>
      <c r="DS10" t="s" s="37">
        <v>5</v>
      </c>
      <c r="DT10" t="s" s="37">
        <v>128</v>
      </c>
      <c r="DU10" t="s" s="37">
        <v>128</v>
      </c>
      <c r="DW10" t="n" s="37">
        <v>0.0</v>
      </c>
      <c r="DX10" t="n" s="37">
        <v>1500.0</v>
      </c>
      <c r="DY10" s="37"/>
      <c r="DZ10" s="37"/>
      <c r="EA10" t="n" s="37">
        <v>9.0</v>
      </c>
      <c r="EB10" t="n" s="37">
        <v>20.0</v>
      </c>
    </row>
    <row r="11">
      <c r="A11" t="s" s="26">
        <v>137</v>
      </c>
      <c r="B11" t="s" s="26">
        <v>138</v>
      </c>
      <c r="C11" t="s" s="26">
        <v>118</v>
      </c>
      <c r="D11" t="s" s="26">
        <v>139</v>
      </c>
      <c r="E11" t="s" s="26">
        <v>120</v>
      </c>
      <c r="F11" t="s" s="26">
        <v>140</v>
      </c>
      <c r="G11" t="s" s="26">
        <v>122</v>
      </c>
      <c r="H11" t="s" s="26">
        <v>123</v>
      </c>
      <c r="I11" t="s" s="26">
        <v>124</v>
      </c>
      <c r="J11" s="26"/>
      <c r="K11" t="s" s="26">
        <v>124</v>
      </c>
      <c r="L11" t="n" s="37">
        <v>100.0</v>
      </c>
      <c r="M11" t="s" s="26">
        <v>125</v>
      </c>
      <c r="N11" s="49"/>
      <c r="O11" s="37"/>
      <c r="P11" s="37"/>
      <c r="Q11" t="n" s="37">
        <v>0.0</v>
      </c>
      <c r="R11" t="n" s="37">
        <v>0.0</v>
      </c>
      <c r="S11" t="n" s="37">
        <v>0.0</v>
      </c>
      <c r="T11" t="n" s="37">
        <v>0.0</v>
      </c>
      <c r="U11" s="37">
        <f>Q11-R11+S11-T11</f>
      </c>
      <c r="V11" s="29" t="s">
        <v>126</v>
      </c>
      <c r="W11" s="25"/>
      <c r="X11" t="s" s="16">
        <v>127</v>
      </c>
      <c r="Y11" t="n" s="37">
        <v>0.0</v>
      </c>
      <c r="Z11" t="n" s="27">
        <v>0.0</v>
      </c>
      <c r="AA11" t="n" s="37">
        <v>0.0</v>
      </c>
      <c r="AB11" s="26"/>
      <c r="AC11" s="26"/>
      <c r="AD11" t="n" s="37">
        <v>0.0</v>
      </c>
      <c r="AE11" t="n" s="37">
        <v>2270.0</v>
      </c>
      <c r="AF11" s="37">
        <f>(U11+IF(N11=DATEVALUE("2023-10-09"),O11,0))+(AD11-0.000000)-(AE11-0.000000)</f>
      </c>
      <c r="AG11" t="s" s="34">
        <v>126</v>
      </c>
      <c r="AH11" t="n" s="37">
        <v>0.0</v>
      </c>
      <c r="AI11" t="n" s="37">
        <v>2268.672</v>
      </c>
      <c r="AJ11" s="37">
        <f>AF11+AH11-AI11</f>
      </c>
      <c r="AK11" t="s" s="34">
        <v>126</v>
      </c>
      <c r="AL11" t="n" s="37">
        <v>0.0</v>
      </c>
      <c r="AM11" t="n" s="37">
        <v>2265.0</v>
      </c>
      <c r="AN11" s="37">
        <f>AJ11+AL11-AM11</f>
      </c>
      <c r="AO11" t="s" s="34">
        <v>126</v>
      </c>
      <c r="AP11" t="n" s="37">
        <v>0.0</v>
      </c>
      <c r="AQ11" t="n" s="37">
        <v>2058.0</v>
      </c>
      <c r="AR11" s="37">
        <f>AN11+AP11-AQ11</f>
      </c>
      <c r="AS11" t="s" s="34">
        <v>126</v>
      </c>
      <c r="AT11" t="n" s="37">
        <v>0.0</v>
      </c>
      <c r="AU11" t="n" s="37">
        <v>1920.0</v>
      </c>
      <c r="AV11" s="37">
        <f>AR11+AT11-AU11</f>
      </c>
      <c r="AW11" t="s" s="34">
        <v>126</v>
      </c>
      <c r="AX11" t="n" s="37">
        <v>0.0</v>
      </c>
      <c r="AY11" t="n" s="37">
        <v>1918.854</v>
      </c>
      <c r="AZ11" s="37">
        <f>AV11+AX11-AY11</f>
      </c>
      <c r="BA11" t="s" s="34">
        <v>126</v>
      </c>
      <c r="BB11" t="n" s="37">
        <v>0.0</v>
      </c>
      <c r="BC11" t="n" s="37">
        <v>1915.0</v>
      </c>
      <c r="BD11" s="37">
        <f>AZ11+BB11-BC11</f>
      </c>
      <c r="BE11" t="s" s="34">
        <v>126</v>
      </c>
      <c r="BF11" t="n" s="37">
        <v>0.0</v>
      </c>
      <c r="BG11" t="n" s="37">
        <v>1532.0</v>
      </c>
      <c r="BH11" s="37">
        <f>BD11+BF11-BG11</f>
      </c>
      <c r="BI11" t="s" s="34">
        <v>126</v>
      </c>
      <c r="BJ11" t="n" s="37">
        <v>0.0</v>
      </c>
      <c r="BK11" t="s" s="37">
        <v>5</v>
      </c>
      <c r="BL11" t="s" s="37">
        <v>128</v>
      </c>
      <c r="BM11" t="s" s="37">
        <v>128</v>
      </c>
      <c r="BN11" t="n" s="37">
        <v>0.0</v>
      </c>
      <c r="BO11" t="s" s="37">
        <v>5</v>
      </c>
      <c r="BP11" t="s" s="37">
        <v>128</v>
      </c>
      <c r="BQ11" t="s" s="37">
        <v>128</v>
      </c>
      <c r="BR11" t="n" s="37">
        <v>0.0</v>
      </c>
      <c r="BS11" t="s" s="37">
        <v>5</v>
      </c>
      <c r="BT11" t="s" s="37">
        <v>128</v>
      </c>
      <c r="BU11" t="s" s="37">
        <v>128</v>
      </c>
      <c r="BV11" t="n" s="37">
        <v>0.0</v>
      </c>
      <c r="BW11" t="s" s="37">
        <v>5</v>
      </c>
      <c r="BX11" t="s" s="37">
        <v>128</v>
      </c>
      <c r="BY11" t="s" s="37">
        <v>128</v>
      </c>
      <c r="BZ11" t="n" s="37">
        <v>0.0</v>
      </c>
      <c r="CA11" t="s" s="37">
        <v>5</v>
      </c>
      <c r="CB11" t="s" s="37">
        <v>128</v>
      </c>
      <c r="CC11" t="s" s="37">
        <v>128</v>
      </c>
      <c r="CD11" t="n" s="37">
        <v>0.0</v>
      </c>
      <c r="CE11" t="s" s="37">
        <v>5</v>
      </c>
      <c r="CF11" t="s" s="37">
        <v>128</v>
      </c>
      <c r="CG11" t="s" s="37">
        <v>128</v>
      </c>
      <c r="CH11" t="n" s="37">
        <v>0.0</v>
      </c>
      <c r="CI11" t="s" s="37">
        <v>5</v>
      </c>
      <c r="CJ11" t="s" s="37">
        <v>128</v>
      </c>
      <c r="CK11" t="s" s="37">
        <v>128</v>
      </c>
      <c r="CL11" t="n" s="37">
        <v>0.0</v>
      </c>
      <c r="CM11" t="s" s="37">
        <v>5</v>
      </c>
      <c r="CN11" t="s" s="37">
        <v>128</v>
      </c>
      <c r="CO11" t="s" s="37">
        <v>128</v>
      </c>
      <c r="CP11" t="n" s="37">
        <v>0.0</v>
      </c>
      <c r="CQ11" t="s" s="37">
        <v>5</v>
      </c>
      <c r="CR11" t="s" s="37">
        <v>128</v>
      </c>
      <c r="CS11" t="s" s="37">
        <v>128</v>
      </c>
      <c r="CT11" t="n" s="37">
        <v>0.0</v>
      </c>
      <c r="CU11" t="s" s="37">
        <v>5</v>
      </c>
      <c r="CV11" t="s" s="37">
        <v>128</v>
      </c>
      <c r="CW11" t="s" s="37">
        <v>128</v>
      </c>
      <c r="CX11" t="n" s="37">
        <v>0.0</v>
      </c>
      <c r="CY11" t="s" s="37">
        <v>5</v>
      </c>
      <c r="CZ11" t="s" s="37">
        <v>128</v>
      </c>
      <c r="DA11" t="s" s="37">
        <v>128</v>
      </c>
      <c r="DB11" t="n" s="37">
        <v>0.0</v>
      </c>
      <c r="DC11" t="s" s="37">
        <v>5</v>
      </c>
      <c r="DD11" t="s" s="37">
        <v>128</v>
      </c>
      <c r="DE11" t="s" s="37">
        <v>128</v>
      </c>
      <c r="DF11" t="n" s="37">
        <v>0.0</v>
      </c>
      <c r="DG11" t="s" s="37">
        <v>5</v>
      </c>
      <c r="DH11" t="s" s="37">
        <v>128</v>
      </c>
      <c r="DI11" t="s" s="37">
        <v>128</v>
      </c>
      <c r="DJ11" t="n" s="37">
        <v>0.0</v>
      </c>
      <c r="DK11" t="s" s="37">
        <v>5</v>
      </c>
      <c r="DL11" t="s" s="37">
        <v>128</v>
      </c>
      <c r="DM11" t="s" s="37">
        <v>128</v>
      </c>
      <c r="DN11" t="n" s="37">
        <v>0.0</v>
      </c>
      <c r="DO11" t="s" s="37">
        <v>5</v>
      </c>
      <c r="DP11" t="s" s="37">
        <v>128</v>
      </c>
      <c r="DQ11" t="s" s="37">
        <v>128</v>
      </c>
      <c r="DR11" t="n" s="37">
        <v>0.0</v>
      </c>
      <c r="DS11" t="s" s="37">
        <v>5</v>
      </c>
      <c r="DT11" t="s" s="37">
        <v>128</v>
      </c>
      <c r="DU11" t="s" s="37">
        <v>128</v>
      </c>
      <c r="DW11" t="n" s="37">
        <v>0.0</v>
      </c>
      <c r="DX11" t="n" s="37">
        <v>100.0</v>
      </c>
      <c r="DY11" s="37"/>
      <c r="DZ11" s="37"/>
      <c r="EA11" t="n" s="37">
        <v>9.0</v>
      </c>
      <c r="EB11" t="n" s="37">
        <v>20.0</v>
      </c>
    </row>
    <row r="12">
      <c r="A12" t="s" s="26">
        <v>141</v>
      </c>
      <c r="B12" t="s" s="26">
        <v>142</v>
      </c>
      <c r="C12" t="s" s="26">
        <v>118</v>
      </c>
      <c r="D12" t="s" s="26">
        <v>143</v>
      </c>
      <c r="E12" t="s" s="26">
        <v>120</v>
      </c>
      <c r="F12" t="s" s="26">
        <v>144</v>
      </c>
      <c r="G12" t="s" s="26">
        <v>145</v>
      </c>
      <c r="H12" t="s" s="26">
        <v>146</v>
      </c>
      <c r="I12" t="s" s="26">
        <v>124</v>
      </c>
      <c r="J12" s="26"/>
      <c r="K12" t="s" s="26">
        <v>124</v>
      </c>
      <c r="L12" t="n" s="35">
        <v>22000.0</v>
      </c>
      <c r="M12" t="s" s="26">
        <v>125</v>
      </c>
      <c r="N12" s="49"/>
      <c r="O12" s="35"/>
      <c r="P12" s="35"/>
      <c r="Q12" t="n" s="35">
        <v>0.0</v>
      </c>
      <c r="R12" t="n" s="35">
        <v>0.0</v>
      </c>
      <c r="S12" t="n" s="35">
        <v>0.0</v>
      </c>
      <c r="T12" t="n" s="35">
        <v>0.0</v>
      </c>
      <c r="U12" s="35">
        <f>Q12-R12+S12-T12</f>
      </c>
      <c r="V12" s="29" t="s">
        <v>126</v>
      </c>
      <c r="W12" s="25"/>
      <c r="X12" t="s" s="16">
        <v>127</v>
      </c>
      <c r="Y12" t="n" s="35">
        <v>-10.0</v>
      </c>
      <c r="Z12" t="n" s="27">
        <v>0.0</v>
      </c>
      <c r="AA12" t="n" s="35">
        <v>0.0</v>
      </c>
      <c r="AB12" s="26"/>
      <c r="AC12" s="26"/>
      <c r="AD12" t="n" s="35">
        <v>0.0</v>
      </c>
      <c r="AE12" t="n" s="35">
        <v>1130.0</v>
      </c>
      <c r="AF12" s="35">
        <f>(U12+IF(N12=DATEVALUE("2023-10-09"),O12,0))+(AD12-0.000000)-(AE12-0.000000)</f>
      </c>
      <c r="AG12" t="s" s="34">
        <v>126</v>
      </c>
      <c r="AH12" t="n" s="35">
        <v>0.0</v>
      </c>
      <c r="AI12" t="n" s="35">
        <v>1130.0</v>
      </c>
      <c r="AJ12" s="35">
        <f>AF12+AH12-AI12</f>
      </c>
      <c r="AK12" t="s" s="34">
        <v>126</v>
      </c>
      <c r="AL12" t="n" s="35">
        <v>0.0</v>
      </c>
      <c r="AM12" t="n" s="35">
        <v>1130.0</v>
      </c>
      <c r="AN12" s="35">
        <f>AJ12+AL12-AM12</f>
      </c>
      <c r="AO12" t="s" s="34">
        <v>126</v>
      </c>
      <c r="AP12" t="n" s="35">
        <v>0.0</v>
      </c>
      <c r="AQ12" t="n" s="35">
        <v>1025.727</v>
      </c>
      <c r="AR12" s="35">
        <f>AN12+AP12-AQ12</f>
      </c>
      <c r="AS12" t="s" s="34">
        <v>126</v>
      </c>
      <c r="AT12" t="n" s="35">
        <v>0.0</v>
      </c>
      <c r="AU12" t="n" s="35">
        <v>955.0</v>
      </c>
      <c r="AV12" s="35">
        <f>AR12+AT12-AU12</f>
      </c>
      <c r="AW12" t="s" s="34">
        <v>126</v>
      </c>
      <c r="AX12" t="n" s="35">
        <v>0.0</v>
      </c>
      <c r="AY12" t="n" s="35">
        <v>955.0</v>
      </c>
      <c r="AZ12" s="35">
        <f>AV12+AX12-AY12</f>
      </c>
      <c r="BA12" t="s" s="34">
        <v>126</v>
      </c>
      <c r="BB12" t="n" s="35">
        <v>0.0</v>
      </c>
      <c r="BC12" t="n" s="35">
        <v>955.0</v>
      </c>
      <c r="BD12" s="35">
        <f>AZ12+BB12-BC12</f>
      </c>
      <c r="BE12" t="s" s="34">
        <v>126</v>
      </c>
      <c r="BF12" t="n" s="35">
        <v>0.0</v>
      </c>
      <c r="BG12" t="n" s="35">
        <v>764.0</v>
      </c>
      <c r="BH12" s="35">
        <f>BD12+BF12-BG12</f>
      </c>
      <c r="BI12" t="s" s="34">
        <v>126</v>
      </c>
      <c r="BJ12" t="n" s="35">
        <v>0.0</v>
      </c>
      <c r="BK12" t="s" s="35">
        <v>5</v>
      </c>
      <c r="BL12" t="s" s="35">
        <v>128</v>
      </c>
      <c r="BM12" t="s" s="35">
        <v>128</v>
      </c>
      <c r="BN12" t="n" s="35">
        <v>0.0</v>
      </c>
      <c r="BO12" t="s" s="35">
        <v>5</v>
      </c>
      <c r="BP12" t="s" s="35">
        <v>128</v>
      </c>
      <c r="BQ12" t="s" s="35">
        <v>128</v>
      </c>
      <c r="BR12" t="n" s="35">
        <v>0.0</v>
      </c>
      <c r="BS12" t="s" s="35">
        <v>5</v>
      </c>
      <c r="BT12" t="s" s="35">
        <v>128</v>
      </c>
      <c r="BU12" t="s" s="35">
        <v>128</v>
      </c>
      <c r="BV12" t="n" s="35">
        <v>0.0</v>
      </c>
      <c r="BW12" t="s" s="35">
        <v>5</v>
      </c>
      <c r="BX12" t="s" s="35">
        <v>128</v>
      </c>
      <c r="BY12" t="s" s="35">
        <v>128</v>
      </c>
      <c r="BZ12" t="n" s="35">
        <v>0.0</v>
      </c>
      <c r="CA12" t="s" s="35">
        <v>5</v>
      </c>
      <c r="CB12" t="s" s="35">
        <v>128</v>
      </c>
      <c r="CC12" t="s" s="35">
        <v>128</v>
      </c>
      <c r="CD12" t="n" s="35">
        <v>0.0</v>
      </c>
      <c r="CE12" t="s" s="35">
        <v>5</v>
      </c>
      <c r="CF12" t="s" s="35">
        <v>128</v>
      </c>
      <c r="CG12" t="s" s="35">
        <v>128</v>
      </c>
      <c r="CH12" t="n" s="35">
        <v>0.0</v>
      </c>
      <c r="CI12" t="s" s="35">
        <v>5</v>
      </c>
      <c r="CJ12" t="s" s="35">
        <v>128</v>
      </c>
      <c r="CK12" t="s" s="35">
        <v>128</v>
      </c>
      <c r="CL12" t="n" s="35">
        <v>0.0</v>
      </c>
      <c r="CM12" t="s" s="35">
        <v>5</v>
      </c>
      <c r="CN12" t="s" s="35">
        <v>128</v>
      </c>
      <c r="CO12" t="s" s="35">
        <v>128</v>
      </c>
      <c r="CP12" t="n" s="35">
        <v>0.0</v>
      </c>
      <c r="CQ12" t="s" s="35">
        <v>5</v>
      </c>
      <c r="CR12" t="s" s="35">
        <v>128</v>
      </c>
      <c r="CS12" t="s" s="35">
        <v>128</v>
      </c>
      <c r="CT12" t="n" s="35">
        <v>0.0</v>
      </c>
      <c r="CU12" t="s" s="35">
        <v>5</v>
      </c>
      <c r="CV12" t="s" s="35">
        <v>128</v>
      </c>
      <c r="CW12" t="s" s="35">
        <v>128</v>
      </c>
      <c r="CX12" t="n" s="35">
        <v>0.0</v>
      </c>
      <c r="CY12" t="s" s="35">
        <v>5</v>
      </c>
      <c r="CZ12" t="s" s="35">
        <v>128</v>
      </c>
      <c r="DA12" t="s" s="35">
        <v>128</v>
      </c>
      <c r="DB12" t="n" s="35">
        <v>0.0</v>
      </c>
      <c r="DC12" t="s" s="35">
        <v>5</v>
      </c>
      <c r="DD12" t="s" s="35">
        <v>128</v>
      </c>
      <c r="DE12" t="s" s="35">
        <v>128</v>
      </c>
      <c r="DF12" t="n" s="35">
        <v>0.0</v>
      </c>
      <c r="DG12" t="s" s="35">
        <v>5</v>
      </c>
      <c r="DH12" t="s" s="35">
        <v>128</v>
      </c>
      <c r="DI12" t="s" s="35">
        <v>128</v>
      </c>
      <c r="DJ12" t="n" s="35">
        <v>0.0</v>
      </c>
      <c r="DK12" t="s" s="35">
        <v>5</v>
      </c>
      <c r="DL12" t="s" s="35">
        <v>128</v>
      </c>
      <c r="DM12" t="s" s="35">
        <v>128</v>
      </c>
      <c r="DN12" t="n" s="35">
        <v>0.0</v>
      </c>
      <c r="DO12" t="s" s="35">
        <v>5</v>
      </c>
      <c r="DP12" t="s" s="35">
        <v>128</v>
      </c>
      <c r="DQ12" t="s" s="35">
        <v>128</v>
      </c>
      <c r="DR12" t="n" s="35">
        <v>0.0</v>
      </c>
      <c r="DS12" t="s" s="35">
        <v>5</v>
      </c>
      <c r="DT12" t="s" s="35">
        <v>128</v>
      </c>
      <c r="DU12" t="s" s="35">
        <v>128</v>
      </c>
      <c r="DW12" t="n" s="35">
        <v>0.0</v>
      </c>
      <c r="DX12" t="n" s="35">
        <v>22000.0</v>
      </c>
      <c r="DY12" s="35"/>
      <c r="DZ12" s="35"/>
      <c r="EA12" t="n" s="35">
        <v>9.0</v>
      </c>
      <c r="EB12" t="n" s="35">
        <v>20.0</v>
      </c>
    </row>
    <row r="13">
      <c r="A13" t="s" s="26">
        <v>147</v>
      </c>
      <c r="B13" t="s" s="26">
        <v>148</v>
      </c>
      <c r="C13" t="s" s="26">
        <v>118</v>
      </c>
      <c r="D13" t="s" s="26">
        <v>149</v>
      </c>
      <c r="E13" t="s" s="26">
        <v>120</v>
      </c>
      <c r="F13" t="s" s="26">
        <v>124</v>
      </c>
      <c r="G13" t="s" s="26">
        <v>145</v>
      </c>
      <c r="H13" t="s" s="26">
        <v>146</v>
      </c>
      <c r="I13" t="s" s="26">
        <v>124</v>
      </c>
      <c r="J13" s="26"/>
      <c r="K13" t="s" s="26">
        <v>124</v>
      </c>
      <c r="L13" t="n" s="37">
        <v>10.0</v>
      </c>
      <c r="M13" t="s" s="26">
        <v>125</v>
      </c>
      <c r="N13" s="49"/>
      <c r="O13" s="37"/>
      <c r="P13" s="37"/>
      <c r="Q13" t="n" s="37">
        <v>0.0</v>
      </c>
      <c r="R13" t="n" s="37">
        <v>0.0</v>
      </c>
      <c r="S13" t="n" s="37">
        <v>0.0</v>
      </c>
      <c r="T13" t="n" s="37">
        <v>0.0</v>
      </c>
      <c r="U13" s="37">
        <f>Q13-R13+S13-T13</f>
      </c>
      <c r="V13" s="29" t="s">
        <v>126</v>
      </c>
      <c r="W13" s="25"/>
      <c r="X13" t="s" s="16">
        <v>127</v>
      </c>
      <c r="Y13" t="n" s="37">
        <v>0.0</v>
      </c>
      <c r="Z13" t="n" s="27">
        <v>0.0</v>
      </c>
      <c r="AA13" t="n" s="37">
        <v>0.0</v>
      </c>
      <c r="AB13" s="26"/>
      <c r="AC13" s="26"/>
      <c r="AD13" t="n" s="37">
        <v>0.0</v>
      </c>
      <c r="AE13" t="n" s="37">
        <v>9965.0</v>
      </c>
      <c r="AF13" s="37">
        <f>U13+(AD13-0.000000)-(AE13-0.000000)</f>
      </c>
      <c r="AG13" t="s" s="34">
        <v>126</v>
      </c>
      <c r="AH13" t="n" s="37">
        <v>0.0</v>
      </c>
      <c r="AI13" t="n" s="37">
        <v>9965.0</v>
      </c>
      <c r="AJ13" s="37">
        <f>AF13+AH13-AI13</f>
      </c>
      <c r="AK13" t="s" s="34">
        <v>126</v>
      </c>
      <c r="AL13" t="n" s="37">
        <v>0.0</v>
      </c>
      <c r="AM13" t="n" s="37">
        <v>9962.816</v>
      </c>
      <c r="AN13" s="37">
        <f>AJ13+AL13-AM13</f>
      </c>
      <c r="AO13" t="s" s="34">
        <v>126</v>
      </c>
      <c r="AP13" t="n" s="37">
        <v>0.0</v>
      </c>
      <c r="AQ13" t="n" s="37">
        <v>9333.0</v>
      </c>
      <c r="AR13" s="37">
        <f>AN13+AP13-AQ13</f>
      </c>
      <c r="AS13" t="s" s="34">
        <v>126</v>
      </c>
      <c r="AT13" t="n" s="37">
        <v>0.0</v>
      </c>
      <c r="AU13" t="n" s="37">
        <v>8915.0</v>
      </c>
      <c r="AV13" s="37">
        <f>AR13+AT13-AU13</f>
      </c>
      <c r="AW13" t="s" s="34">
        <v>126</v>
      </c>
      <c r="AX13" t="n" s="37">
        <v>0.0</v>
      </c>
      <c r="AY13" t="n" s="37">
        <v>8914.362</v>
      </c>
      <c r="AZ13" s="37">
        <f>AV13+AX13-AY13</f>
      </c>
      <c r="BA13" t="s" s="34">
        <v>126</v>
      </c>
      <c r="BB13" t="n" s="37">
        <v>0.0</v>
      </c>
      <c r="BC13" t="n" s="37">
        <v>8910.0</v>
      </c>
      <c r="BD13" s="37">
        <f>AZ13+BB13-BC13</f>
      </c>
      <c r="BE13" t="s" s="34">
        <v>126</v>
      </c>
      <c r="BF13" t="n" s="37">
        <v>0.0</v>
      </c>
      <c r="BG13" t="n" s="37">
        <v>7128.0</v>
      </c>
      <c r="BH13" s="37">
        <f>BD13+BF13-BG13</f>
      </c>
      <c r="BI13" t="s" s="34">
        <v>126</v>
      </c>
      <c r="BJ13" t="n" s="37">
        <v>0.0</v>
      </c>
      <c r="BK13" t="s" s="37">
        <v>5</v>
      </c>
      <c r="BL13" t="s" s="37">
        <v>128</v>
      </c>
      <c r="BM13" t="s" s="37">
        <v>128</v>
      </c>
      <c r="BN13" t="n" s="37">
        <v>0.0</v>
      </c>
      <c r="BO13" t="s" s="37">
        <v>5</v>
      </c>
      <c r="BP13" t="s" s="37">
        <v>128</v>
      </c>
      <c r="BQ13" t="s" s="37">
        <v>128</v>
      </c>
      <c r="BR13" t="n" s="37">
        <v>0.0</v>
      </c>
      <c r="BS13" t="s" s="37">
        <v>5</v>
      </c>
      <c r="BT13" t="s" s="37">
        <v>128</v>
      </c>
      <c r="BU13" t="s" s="37">
        <v>128</v>
      </c>
      <c r="BV13" t="n" s="37">
        <v>0.0</v>
      </c>
      <c r="BW13" t="s" s="37">
        <v>5</v>
      </c>
      <c r="BX13" t="s" s="37">
        <v>128</v>
      </c>
      <c r="BY13" t="s" s="37">
        <v>128</v>
      </c>
      <c r="BZ13" t="n" s="37">
        <v>0.0</v>
      </c>
      <c r="CA13" t="s" s="37">
        <v>5</v>
      </c>
      <c r="CB13" t="s" s="37">
        <v>128</v>
      </c>
      <c r="CC13" t="s" s="37">
        <v>128</v>
      </c>
      <c r="CD13" t="n" s="37">
        <v>0.0</v>
      </c>
      <c r="CE13" t="s" s="37">
        <v>5</v>
      </c>
      <c r="CF13" t="s" s="37">
        <v>128</v>
      </c>
      <c r="CG13" t="s" s="37">
        <v>128</v>
      </c>
      <c r="CH13" t="n" s="37">
        <v>0.0</v>
      </c>
      <c r="CI13" t="s" s="37">
        <v>5</v>
      </c>
      <c r="CJ13" t="s" s="37">
        <v>128</v>
      </c>
      <c r="CK13" t="s" s="37">
        <v>128</v>
      </c>
      <c r="CL13" t="n" s="37">
        <v>0.0</v>
      </c>
      <c r="CM13" t="s" s="37">
        <v>5</v>
      </c>
      <c r="CN13" t="s" s="37">
        <v>128</v>
      </c>
      <c r="CO13" t="s" s="37">
        <v>128</v>
      </c>
      <c r="CP13" t="n" s="37">
        <v>0.0</v>
      </c>
      <c r="CQ13" t="s" s="37">
        <v>5</v>
      </c>
      <c r="CR13" t="s" s="37">
        <v>128</v>
      </c>
      <c r="CS13" t="s" s="37">
        <v>128</v>
      </c>
      <c r="CT13" t="n" s="37">
        <v>0.0</v>
      </c>
      <c r="CU13" t="s" s="37">
        <v>5</v>
      </c>
      <c r="CV13" t="s" s="37">
        <v>128</v>
      </c>
      <c r="CW13" t="s" s="37">
        <v>128</v>
      </c>
      <c r="CX13" t="n" s="37">
        <v>0.0</v>
      </c>
      <c r="CY13" t="s" s="37">
        <v>5</v>
      </c>
      <c r="CZ13" t="s" s="37">
        <v>128</v>
      </c>
      <c r="DA13" t="s" s="37">
        <v>128</v>
      </c>
      <c r="DB13" t="n" s="37">
        <v>0.0</v>
      </c>
      <c r="DC13" t="s" s="37">
        <v>5</v>
      </c>
      <c r="DD13" t="s" s="37">
        <v>128</v>
      </c>
      <c r="DE13" t="s" s="37">
        <v>128</v>
      </c>
      <c r="DF13" t="n" s="37">
        <v>0.0</v>
      </c>
      <c r="DG13" t="s" s="37">
        <v>5</v>
      </c>
      <c r="DH13" t="s" s="37">
        <v>128</v>
      </c>
      <c r="DI13" t="s" s="37">
        <v>128</v>
      </c>
      <c r="DJ13" t="n" s="37">
        <v>0.0</v>
      </c>
      <c r="DK13" t="s" s="37">
        <v>5</v>
      </c>
      <c r="DL13" t="s" s="37">
        <v>128</v>
      </c>
      <c r="DM13" t="s" s="37">
        <v>128</v>
      </c>
      <c r="DN13" t="n" s="37">
        <v>0.0</v>
      </c>
      <c r="DO13" t="s" s="37">
        <v>5</v>
      </c>
      <c r="DP13" t="s" s="37">
        <v>128</v>
      </c>
      <c r="DQ13" t="s" s="37">
        <v>128</v>
      </c>
      <c r="DR13" t="n" s="37">
        <v>0.0</v>
      </c>
      <c r="DS13" t="s" s="37">
        <v>5</v>
      </c>
      <c r="DT13" t="s" s="37">
        <v>128</v>
      </c>
      <c r="DU13" t="s" s="37">
        <v>128</v>
      </c>
      <c r="DW13" t="n" s="37">
        <v>0.0</v>
      </c>
      <c r="DX13" t="n" s="37">
        <v>10.0</v>
      </c>
      <c r="DY13" s="37"/>
      <c r="DZ13" s="37"/>
      <c r="EA13" t="n" s="37">
        <v>9.0</v>
      </c>
      <c r="EB13" t="n" s="37">
        <v>20.0</v>
      </c>
    </row>
    <row r="14">
      <c r="A14" t="s" s="26">
        <v>150</v>
      </c>
      <c r="B14" t="s" s="26">
        <v>151</v>
      </c>
      <c r="C14" t="s" s="26">
        <v>118</v>
      </c>
      <c r="D14" t="s" s="26">
        <v>152</v>
      </c>
      <c r="E14" t="s" s="26">
        <v>120</v>
      </c>
      <c r="F14" t="s" s="26">
        <v>153</v>
      </c>
      <c r="G14" t="s" s="26">
        <v>145</v>
      </c>
      <c r="H14" t="s" s="26">
        <v>146</v>
      </c>
      <c r="I14" t="s" s="26">
        <v>124</v>
      </c>
      <c r="J14" s="26"/>
      <c r="K14" t="s" s="26">
        <v>124</v>
      </c>
      <c r="L14" t="n" s="37">
        <v>10.0</v>
      </c>
      <c r="M14" t="s" s="26">
        <v>125</v>
      </c>
      <c r="N14" s="49"/>
      <c r="O14" s="37"/>
      <c r="P14" s="37"/>
      <c r="Q14" t="n" s="37">
        <v>0.0</v>
      </c>
      <c r="R14" t="n" s="37">
        <v>0.0</v>
      </c>
      <c r="S14" t="n" s="37">
        <v>0.0</v>
      </c>
      <c r="T14" t="n" s="37">
        <v>0.0</v>
      </c>
      <c r="U14" s="37">
        <f>Q14-R14+S14-T14</f>
      </c>
      <c r="V14" s="29" t="s">
        <v>126</v>
      </c>
      <c r="W14" s="25"/>
      <c r="X14" t="s" s="16">
        <v>127</v>
      </c>
      <c r="Y14" t="n" s="37">
        <v>-100.0</v>
      </c>
      <c r="Z14" t="n" s="27">
        <v>0.0</v>
      </c>
      <c r="AA14" t="n" s="37">
        <v>0.0</v>
      </c>
      <c r="AB14" s="26"/>
      <c r="AC14" s="26"/>
      <c r="AD14" t="n" s="37">
        <v>0.0</v>
      </c>
      <c r="AE14" t="n" s="37">
        <v>7805.0</v>
      </c>
      <c r="AF14" s="37">
        <f>U14+(AD14-0.000000)-(AE14-0.000000)</f>
      </c>
      <c r="AG14" t="s" s="34">
        <v>126</v>
      </c>
      <c r="AH14" t="n" s="37">
        <v>0.0</v>
      </c>
      <c r="AI14" t="n" s="37">
        <v>7805.0</v>
      </c>
      <c r="AJ14" s="37">
        <f>AF14+AH14-AI14</f>
      </c>
      <c r="AK14" t="s" s="34">
        <v>126</v>
      </c>
      <c r="AL14" t="n" s="37">
        <v>0.0</v>
      </c>
      <c r="AM14" t="n" s="37">
        <v>7805.0</v>
      </c>
      <c r="AN14" s="37">
        <f>AJ14+AL14-AM14</f>
      </c>
      <c r="AO14" t="s" s="34">
        <v>126</v>
      </c>
      <c r="AP14" t="n" s="37">
        <v>0.0</v>
      </c>
      <c r="AQ14" t="n" s="37">
        <v>7174.816</v>
      </c>
      <c r="AR14" s="37">
        <f>AN14+AP14-AQ14</f>
      </c>
      <c r="AS14" t="s" s="34">
        <v>126</v>
      </c>
      <c r="AT14" t="n" s="37">
        <v>0.0</v>
      </c>
      <c r="AU14" t="n" s="37">
        <v>6755.0</v>
      </c>
      <c r="AV14" s="37">
        <f>AR14+AT14-AU14</f>
      </c>
      <c r="AW14" t="s" s="34">
        <v>126</v>
      </c>
      <c r="AX14" t="n" s="37">
        <v>0.0</v>
      </c>
      <c r="AY14" t="n" s="37">
        <v>6755.0</v>
      </c>
      <c r="AZ14" s="37">
        <f>AV14+AX14-AY14</f>
      </c>
      <c r="BA14" t="s" s="34">
        <v>126</v>
      </c>
      <c r="BB14" t="n" s="37">
        <v>0.0</v>
      </c>
      <c r="BC14" t="n" s="37">
        <v>6753.362</v>
      </c>
      <c r="BD14" s="37">
        <f>AZ14+BB14-BC14</f>
      </c>
      <c r="BE14" t="s" s="34">
        <v>126</v>
      </c>
      <c r="BF14" t="n" s="37">
        <v>0.0</v>
      </c>
      <c r="BG14" t="n" s="37">
        <v>5400.0</v>
      </c>
      <c r="BH14" s="37">
        <f>BD14+BF14-BG14</f>
      </c>
      <c r="BI14" t="s" s="34">
        <v>126</v>
      </c>
      <c r="BJ14" t="n" s="37">
        <v>0.0</v>
      </c>
      <c r="BK14" t="s" s="37">
        <v>5</v>
      </c>
      <c r="BL14" t="s" s="37">
        <v>128</v>
      </c>
      <c r="BM14" t="s" s="37">
        <v>128</v>
      </c>
      <c r="BN14" t="n" s="37">
        <v>0.0</v>
      </c>
      <c r="BO14" t="s" s="37">
        <v>5</v>
      </c>
      <c r="BP14" t="s" s="37">
        <v>128</v>
      </c>
      <c r="BQ14" t="s" s="37">
        <v>128</v>
      </c>
      <c r="BR14" t="n" s="37">
        <v>0.0</v>
      </c>
      <c r="BS14" t="s" s="37">
        <v>5</v>
      </c>
      <c r="BT14" t="s" s="37">
        <v>128</v>
      </c>
      <c r="BU14" t="s" s="37">
        <v>128</v>
      </c>
      <c r="BV14" t="n" s="37">
        <v>0.0</v>
      </c>
      <c r="BW14" t="s" s="37">
        <v>5</v>
      </c>
      <c r="BX14" t="s" s="37">
        <v>128</v>
      </c>
      <c r="BY14" t="s" s="37">
        <v>128</v>
      </c>
      <c r="BZ14" t="n" s="37">
        <v>0.0</v>
      </c>
      <c r="CA14" t="s" s="37">
        <v>5</v>
      </c>
      <c r="CB14" t="s" s="37">
        <v>128</v>
      </c>
      <c r="CC14" t="s" s="37">
        <v>128</v>
      </c>
      <c r="CD14" t="n" s="37">
        <v>0.0</v>
      </c>
      <c r="CE14" t="s" s="37">
        <v>5</v>
      </c>
      <c r="CF14" t="s" s="37">
        <v>128</v>
      </c>
      <c r="CG14" t="s" s="37">
        <v>128</v>
      </c>
      <c r="CH14" t="n" s="37">
        <v>0.0</v>
      </c>
      <c r="CI14" t="s" s="37">
        <v>5</v>
      </c>
      <c r="CJ14" t="s" s="37">
        <v>128</v>
      </c>
      <c r="CK14" t="s" s="37">
        <v>128</v>
      </c>
      <c r="CL14" t="n" s="37">
        <v>0.0</v>
      </c>
      <c r="CM14" t="s" s="37">
        <v>5</v>
      </c>
      <c r="CN14" t="s" s="37">
        <v>128</v>
      </c>
      <c r="CO14" t="s" s="37">
        <v>128</v>
      </c>
      <c r="CP14" t="n" s="37">
        <v>0.0</v>
      </c>
      <c r="CQ14" t="s" s="37">
        <v>5</v>
      </c>
      <c r="CR14" t="s" s="37">
        <v>128</v>
      </c>
      <c r="CS14" t="s" s="37">
        <v>128</v>
      </c>
      <c r="CT14" t="n" s="37">
        <v>0.0</v>
      </c>
      <c r="CU14" t="s" s="37">
        <v>5</v>
      </c>
      <c r="CV14" t="s" s="37">
        <v>128</v>
      </c>
      <c r="CW14" t="s" s="37">
        <v>128</v>
      </c>
      <c r="CX14" t="n" s="37">
        <v>0.0</v>
      </c>
      <c r="CY14" t="s" s="37">
        <v>5</v>
      </c>
      <c r="CZ14" t="s" s="37">
        <v>128</v>
      </c>
      <c r="DA14" t="s" s="37">
        <v>128</v>
      </c>
      <c r="DB14" t="n" s="37">
        <v>0.0</v>
      </c>
      <c r="DC14" t="s" s="37">
        <v>5</v>
      </c>
      <c r="DD14" t="s" s="37">
        <v>128</v>
      </c>
      <c r="DE14" t="s" s="37">
        <v>128</v>
      </c>
      <c r="DF14" t="n" s="37">
        <v>0.0</v>
      </c>
      <c r="DG14" t="s" s="37">
        <v>5</v>
      </c>
      <c r="DH14" t="s" s="37">
        <v>128</v>
      </c>
      <c r="DI14" t="s" s="37">
        <v>128</v>
      </c>
      <c r="DJ14" t="n" s="37">
        <v>0.0</v>
      </c>
      <c r="DK14" t="s" s="37">
        <v>5</v>
      </c>
      <c r="DL14" t="s" s="37">
        <v>128</v>
      </c>
      <c r="DM14" t="s" s="37">
        <v>128</v>
      </c>
      <c r="DN14" t="n" s="37">
        <v>0.0</v>
      </c>
      <c r="DO14" t="s" s="37">
        <v>5</v>
      </c>
      <c r="DP14" t="s" s="37">
        <v>128</v>
      </c>
      <c r="DQ14" t="s" s="37">
        <v>128</v>
      </c>
      <c r="DR14" t="n" s="37">
        <v>0.0</v>
      </c>
      <c r="DS14" t="s" s="37">
        <v>5</v>
      </c>
      <c r="DT14" t="s" s="37">
        <v>128</v>
      </c>
      <c r="DU14" t="s" s="37">
        <v>128</v>
      </c>
      <c r="DW14" t="n" s="37">
        <v>0.0</v>
      </c>
      <c r="DX14" t="n" s="37">
        <v>10.0</v>
      </c>
      <c r="DY14" s="37"/>
      <c r="DZ14" s="37"/>
      <c r="EA14" t="n" s="37">
        <v>9.0</v>
      </c>
      <c r="EB14" t="n" s="37">
        <v>20.0</v>
      </c>
    </row>
    <row r="15">
      <c r="A15" t="s" s="26">
        <v>154</v>
      </c>
      <c r="B15" t="s" s="26">
        <v>155</v>
      </c>
      <c r="C15" t="s" s="26">
        <v>118</v>
      </c>
      <c r="D15" t="s" s="26">
        <v>156</v>
      </c>
      <c r="E15" t="s" s="26">
        <v>157</v>
      </c>
      <c r="F15" t="s" s="26">
        <v>158</v>
      </c>
      <c r="G15" s="26"/>
      <c r="H15" s="26"/>
      <c r="I15" t="s" s="26">
        <v>124</v>
      </c>
      <c r="J15" s="26"/>
      <c r="K15" s="26"/>
      <c r="L15" t="n" s="35">
        <v>10.0</v>
      </c>
      <c r="M15" t="s" s="26">
        <v>125</v>
      </c>
      <c r="N15" s="49"/>
      <c r="O15" s="35"/>
      <c r="P15" s="35"/>
      <c r="Q15" t="n" s="35">
        <v>100.0</v>
      </c>
      <c r="R15" t="n" s="35">
        <v>0.0</v>
      </c>
      <c r="S15" t="n" s="35">
        <v>0.0</v>
      </c>
      <c r="T15" t="n" s="35">
        <v>0.0</v>
      </c>
      <c r="U15" s="35">
        <f>Q15-R15+S15-T15</f>
      </c>
      <c r="V15" s="29" t="s">
        <v>5</v>
      </c>
      <c r="W15" s="25"/>
      <c r="X15" s="13"/>
      <c r="Y15" t="n" s="35">
        <v>0.0</v>
      </c>
      <c r="Z15" t="s" s="27">
        <v>128</v>
      </c>
      <c r="AA15" t="n" s="35">
        <v>0.0</v>
      </c>
      <c r="AB15" s="26"/>
      <c r="AC15" s="26"/>
      <c r="AD15" t="n" s="35">
        <v>0.0</v>
      </c>
      <c r="AE15" t="s" s="35">
        <v>5</v>
      </c>
      <c r="AF15" t="s" s="35">
        <v>128</v>
      </c>
      <c r="AG15" t="s" s="35">
        <v>128</v>
      </c>
      <c r="AH15" t="n" s="35">
        <v>0.0</v>
      </c>
      <c r="AI15" t="s" s="35">
        <v>5</v>
      </c>
      <c r="AJ15" t="s" s="35">
        <v>128</v>
      </c>
      <c r="AK15" t="s" s="35">
        <v>128</v>
      </c>
      <c r="AL15" t="n" s="35">
        <v>0.0</v>
      </c>
      <c r="AM15" t="s" s="35">
        <v>5</v>
      </c>
      <c r="AN15" t="s" s="35">
        <v>128</v>
      </c>
      <c r="AO15" t="s" s="35">
        <v>128</v>
      </c>
      <c r="AP15" t="n" s="35">
        <v>0.0</v>
      </c>
      <c r="AQ15" t="s" s="35">
        <v>5</v>
      </c>
      <c r="AR15" t="s" s="35">
        <v>128</v>
      </c>
      <c r="AS15" t="s" s="35">
        <v>128</v>
      </c>
      <c r="AT15" t="n" s="35">
        <v>0.0</v>
      </c>
      <c r="AU15" t="s" s="35">
        <v>5</v>
      </c>
      <c r="AV15" t="s" s="35">
        <v>128</v>
      </c>
      <c r="AW15" t="s" s="35">
        <v>128</v>
      </c>
      <c r="AX15" t="n" s="35">
        <v>0.0</v>
      </c>
      <c r="AY15" t="s" s="35">
        <v>5</v>
      </c>
      <c r="AZ15" t="s" s="35">
        <v>128</v>
      </c>
      <c r="BA15" t="s" s="35">
        <v>128</v>
      </c>
      <c r="BB15" t="n" s="35">
        <v>0.0</v>
      </c>
      <c r="BC15" t="s" s="35">
        <v>5</v>
      </c>
      <c r="BD15" t="s" s="35">
        <v>128</v>
      </c>
      <c r="BE15" t="s" s="35">
        <v>128</v>
      </c>
      <c r="BF15" t="n" s="35">
        <v>0.0</v>
      </c>
      <c r="BG15" t="s" s="35">
        <v>5</v>
      </c>
      <c r="BH15" t="s" s="35">
        <v>128</v>
      </c>
      <c r="BI15" t="s" s="35">
        <v>128</v>
      </c>
      <c r="BJ15" t="n" s="35">
        <v>0.0</v>
      </c>
      <c r="BK15" t="s" s="35">
        <v>5</v>
      </c>
      <c r="BL15" t="s" s="35">
        <v>128</v>
      </c>
      <c r="BM15" t="s" s="35">
        <v>128</v>
      </c>
      <c r="BN15" t="n" s="35">
        <v>0.0</v>
      </c>
      <c r="BO15" t="s" s="35">
        <v>5</v>
      </c>
      <c r="BP15" t="s" s="35">
        <v>128</v>
      </c>
      <c r="BQ15" t="s" s="35">
        <v>128</v>
      </c>
      <c r="BR15" t="n" s="35">
        <v>0.0</v>
      </c>
      <c r="BS15" t="s" s="35">
        <v>5</v>
      </c>
      <c r="BT15" t="s" s="35">
        <v>128</v>
      </c>
      <c r="BU15" t="s" s="35">
        <v>128</v>
      </c>
      <c r="BV15" t="n" s="35">
        <v>0.0</v>
      </c>
      <c r="BW15" t="s" s="35">
        <v>5</v>
      </c>
      <c r="BX15" t="s" s="35">
        <v>128</v>
      </c>
      <c r="BY15" t="s" s="35">
        <v>128</v>
      </c>
      <c r="BZ15" t="n" s="35">
        <v>0.0</v>
      </c>
      <c r="CA15" t="s" s="35">
        <v>5</v>
      </c>
      <c r="CB15" t="s" s="35">
        <v>128</v>
      </c>
      <c r="CC15" t="s" s="35">
        <v>128</v>
      </c>
      <c r="CD15" t="n" s="35">
        <v>0.0</v>
      </c>
      <c r="CE15" t="s" s="35">
        <v>5</v>
      </c>
      <c r="CF15" t="s" s="35">
        <v>128</v>
      </c>
      <c r="CG15" t="s" s="35">
        <v>128</v>
      </c>
      <c r="CH15" t="n" s="35">
        <v>0.0</v>
      </c>
      <c r="CI15" t="s" s="35">
        <v>5</v>
      </c>
      <c r="CJ15" t="s" s="35">
        <v>128</v>
      </c>
      <c r="CK15" t="s" s="35">
        <v>128</v>
      </c>
      <c r="CL15" t="n" s="35">
        <v>0.0</v>
      </c>
      <c r="CM15" t="s" s="35">
        <v>5</v>
      </c>
      <c r="CN15" t="s" s="35">
        <v>128</v>
      </c>
      <c r="CO15" t="s" s="35">
        <v>128</v>
      </c>
      <c r="CP15" t="n" s="35">
        <v>0.0</v>
      </c>
      <c r="CQ15" t="s" s="35">
        <v>5</v>
      </c>
      <c r="CR15" t="s" s="35">
        <v>128</v>
      </c>
      <c r="CS15" t="s" s="35">
        <v>128</v>
      </c>
      <c r="CT15" t="n" s="35">
        <v>0.0</v>
      </c>
      <c r="CU15" t="s" s="35">
        <v>5</v>
      </c>
      <c r="CV15" t="s" s="35">
        <v>128</v>
      </c>
      <c r="CW15" t="s" s="35">
        <v>128</v>
      </c>
      <c r="CX15" t="n" s="35">
        <v>0.0</v>
      </c>
      <c r="CY15" t="s" s="35">
        <v>5</v>
      </c>
      <c r="CZ15" t="s" s="35">
        <v>128</v>
      </c>
      <c r="DA15" t="s" s="35">
        <v>128</v>
      </c>
      <c r="DB15" t="n" s="35">
        <v>0.0</v>
      </c>
      <c r="DC15" t="s" s="35">
        <v>5</v>
      </c>
      <c r="DD15" t="s" s="35">
        <v>128</v>
      </c>
      <c r="DE15" t="s" s="35">
        <v>128</v>
      </c>
      <c r="DF15" t="n" s="35">
        <v>0.0</v>
      </c>
      <c r="DG15" t="s" s="35">
        <v>5</v>
      </c>
      <c r="DH15" t="s" s="35">
        <v>128</v>
      </c>
      <c r="DI15" t="s" s="35">
        <v>128</v>
      </c>
      <c r="DJ15" t="n" s="35">
        <v>0.0</v>
      </c>
      <c r="DK15" t="s" s="35">
        <v>5</v>
      </c>
      <c r="DL15" t="s" s="35">
        <v>128</v>
      </c>
      <c r="DM15" t="s" s="35">
        <v>128</v>
      </c>
      <c r="DN15" t="n" s="35">
        <v>0.0</v>
      </c>
      <c r="DO15" t="s" s="35">
        <v>5</v>
      </c>
      <c r="DP15" t="s" s="35">
        <v>128</v>
      </c>
      <c r="DQ15" t="s" s="35">
        <v>128</v>
      </c>
      <c r="DR15" t="n" s="35">
        <v>0.0</v>
      </c>
      <c r="DS15" t="s" s="35">
        <v>5</v>
      </c>
      <c r="DT15" t="s" s="35">
        <v>128</v>
      </c>
      <c r="DU15" t="s" s="35">
        <v>128</v>
      </c>
      <c r="DW15" t="n" s="35">
        <v>0.0</v>
      </c>
      <c r="DX15" t="n" s="35">
        <v>10.0</v>
      </c>
      <c r="DY15" s="35"/>
      <c r="DZ15" s="35"/>
      <c r="EA15" s="35"/>
      <c r="EB15" s="35"/>
    </row>
    <row r="16">
      <c r="A16" t="s" s="26">
        <v>159</v>
      </c>
      <c r="B16" t="s" s="26">
        <v>160</v>
      </c>
      <c r="C16" t="s" s="26">
        <v>118</v>
      </c>
      <c r="D16" t="s" s="26">
        <v>161</v>
      </c>
      <c r="E16" t="s" s="26">
        <v>157</v>
      </c>
      <c r="F16" t="s" s="26">
        <v>162</v>
      </c>
      <c r="G16" s="26"/>
      <c r="H16" s="26"/>
      <c r="I16" t="s" s="26">
        <v>124</v>
      </c>
      <c r="J16" s="26"/>
      <c r="K16" s="26"/>
      <c r="L16" t="n" s="35">
        <v>10.0</v>
      </c>
      <c r="M16" t="s" s="26">
        <v>125</v>
      </c>
      <c r="N16" s="49"/>
      <c r="O16" s="35"/>
      <c r="P16" s="35"/>
      <c r="Q16" t="n" s="35">
        <v>100.0</v>
      </c>
      <c r="R16" t="n" s="35">
        <v>0.0</v>
      </c>
      <c r="S16" t="n" s="35">
        <v>0.0</v>
      </c>
      <c r="T16" t="n" s="35">
        <v>0.0</v>
      </c>
      <c r="U16" s="35">
        <f>Q16-R16+S16-T16</f>
      </c>
      <c r="V16" s="29" t="s">
        <v>5</v>
      </c>
      <c r="W16" s="25"/>
      <c r="X16" s="13"/>
      <c r="Y16" t="n" s="35">
        <v>0.0</v>
      </c>
      <c r="Z16" t="s" s="27">
        <v>128</v>
      </c>
      <c r="AA16" t="n" s="35">
        <v>0.0</v>
      </c>
      <c r="AB16" s="26"/>
      <c r="AC16" s="26"/>
      <c r="AD16" t="n" s="35">
        <v>0.0</v>
      </c>
      <c r="AE16" t="s" s="35">
        <v>5</v>
      </c>
      <c r="AF16" t="s" s="35">
        <v>128</v>
      </c>
      <c r="AG16" t="s" s="35">
        <v>128</v>
      </c>
      <c r="AH16" t="n" s="35">
        <v>0.0</v>
      </c>
      <c r="AI16" t="s" s="35">
        <v>5</v>
      </c>
      <c r="AJ16" t="s" s="35">
        <v>128</v>
      </c>
      <c r="AK16" t="s" s="35">
        <v>128</v>
      </c>
      <c r="AL16" t="n" s="35">
        <v>0.0</v>
      </c>
      <c r="AM16" t="s" s="35">
        <v>5</v>
      </c>
      <c r="AN16" t="s" s="35">
        <v>128</v>
      </c>
      <c r="AO16" t="s" s="35">
        <v>128</v>
      </c>
      <c r="AP16" t="n" s="35">
        <v>0.0</v>
      </c>
      <c r="AQ16" t="s" s="35">
        <v>5</v>
      </c>
      <c r="AR16" t="s" s="35">
        <v>128</v>
      </c>
      <c r="AS16" t="s" s="35">
        <v>128</v>
      </c>
      <c r="AT16" t="n" s="35">
        <v>0.0</v>
      </c>
      <c r="AU16" t="s" s="35">
        <v>5</v>
      </c>
      <c r="AV16" t="s" s="35">
        <v>128</v>
      </c>
      <c r="AW16" t="s" s="35">
        <v>128</v>
      </c>
      <c r="AX16" t="n" s="35">
        <v>0.0</v>
      </c>
      <c r="AY16" t="s" s="35">
        <v>5</v>
      </c>
      <c r="AZ16" t="s" s="35">
        <v>128</v>
      </c>
      <c r="BA16" t="s" s="35">
        <v>128</v>
      </c>
      <c r="BB16" t="n" s="35">
        <v>0.0</v>
      </c>
      <c r="BC16" t="s" s="35">
        <v>5</v>
      </c>
      <c r="BD16" t="s" s="35">
        <v>128</v>
      </c>
      <c r="BE16" t="s" s="35">
        <v>128</v>
      </c>
      <c r="BF16" t="n" s="35">
        <v>0.0</v>
      </c>
      <c r="BG16" t="s" s="35">
        <v>5</v>
      </c>
      <c r="BH16" t="s" s="35">
        <v>128</v>
      </c>
      <c r="BI16" t="s" s="35">
        <v>128</v>
      </c>
      <c r="BJ16" t="n" s="35">
        <v>0.0</v>
      </c>
      <c r="BK16" t="s" s="35">
        <v>5</v>
      </c>
      <c r="BL16" t="s" s="35">
        <v>128</v>
      </c>
      <c r="BM16" t="s" s="35">
        <v>128</v>
      </c>
      <c r="BN16" t="n" s="35">
        <v>0.0</v>
      </c>
      <c r="BO16" t="s" s="35">
        <v>5</v>
      </c>
      <c r="BP16" t="s" s="35">
        <v>128</v>
      </c>
      <c r="BQ16" t="s" s="35">
        <v>128</v>
      </c>
      <c r="BR16" t="n" s="35">
        <v>0.0</v>
      </c>
      <c r="BS16" t="s" s="35">
        <v>5</v>
      </c>
      <c r="BT16" t="s" s="35">
        <v>128</v>
      </c>
      <c r="BU16" t="s" s="35">
        <v>128</v>
      </c>
      <c r="BV16" t="n" s="35">
        <v>0.0</v>
      </c>
      <c r="BW16" t="s" s="35">
        <v>5</v>
      </c>
      <c r="BX16" t="s" s="35">
        <v>128</v>
      </c>
      <c r="BY16" t="s" s="35">
        <v>128</v>
      </c>
      <c r="BZ16" t="n" s="35">
        <v>0.0</v>
      </c>
      <c r="CA16" t="s" s="35">
        <v>5</v>
      </c>
      <c r="CB16" t="s" s="35">
        <v>128</v>
      </c>
      <c r="CC16" t="s" s="35">
        <v>128</v>
      </c>
      <c r="CD16" t="n" s="35">
        <v>0.0</v>
      </c>
      <c r="CE16" t="s" s="35">
        <v>5</v>
      </c>
      <c r="CF16" t="s" s="35">
        <v>128</v>
      </c>
      <c r="CG16" t="s" s="35">
        <v>128</v>
      </c>
      <c r="CH16" t="n" s="35">
        <v>0.0</v>
      </c>
      <c r="CI16" t="s" s="35">
        <v>5</v>
      </c>
      <c r="CJ16" t="s" s="35">
        <v>128</v>
      </c>
      <c r="CK16" t="s" s="35">
        <v>128</v>
      </c>
      <c r="CL16" t="n" s="35">
        <v>0.0</v>
      </c>
      <c r="CM16" t="s" s="35">
        <v>5</v>
      </c>
      <c r="CN16" t="s" s="35">
        <v>128</v>
      </c>
      <c r="CO16" t="s" s="35">
        <v>128</v>
      </c>
      <c r="CP16" t="n" s="35">
        <v>0.0</v>
      </c>
      <c r="CQ16" t="s" s="35">
        <v>5</v>
      </c>
      <c r="CR16" t="s" s="35">
        <v>128</v>
      </c>
      <c r="CS16" t="s" s="35">
        <v>128</v>
      </c>
      <c r="CT16" t="n" s="35">
        <v>0.0</v>
      </c>
      <c r="CU16" t="s" s="35">
        <v>5</v>
      </c>
      <c r="CV16" t="s" s="35">
        <v>128</v>
      </c>
      <c r="CW16" t="s" s="35">
        <v>128</v>
      </c>
      <c r="CX16" t="n" s="35">
        <v>0.0</v>
      </c>
      <c r="CY16" t="s" s="35">
        <v>5</v>
      </c>
      <c r="CZ16" t="s" s="35">
        <v>128</v>
      </c>
      <c r="DA16" t="s" s="35">
        <v>128</v>
      </c>
      <c r="DB16" t="n" s="35">
        <v>0.0</v>
      </c>
      <c r="DC16" t="s" s="35">
        <v>5</v>
      </c>
      <c r="DD16" t="s" s="35">
        <v>128</v>
      </c>
      <c r="DE16" t="s" s="35">
        <v>128</v>
      </c>
      <c r="DF16" t="n" s="35">
        <v>0.0</v>
      </c>
      <c r="DG16" t="s" s="35">
        <v>5</v>
      </c>
      <c r="DH16" t="s" s="35">
        <v>128</v>
      </c>
      <c r="DI16" t="s" s="35">
        <v>128</v>
      </c>
      <c r="DJ16" t="n" s="35">
        <v>0.0</v>
      </c>
      <c r="DK16" t="s" s="35">
        <v>5</v>
      </c>
      <c r="DL16" t="s" s="35">
        <v>128</v>
      </c>
      <c r="DM16" t="s" s="35">
        <v>128</v>
      </c>
      <c r="DN16" t="n" s="35">
        <v>0.0</v>
      </c>
      <c r="DO16" t="s" s="35">
        <v>5</v>
      </c>
      <c r="DP16" t="s" s="35">
        <v>128</v>
      </c>
      <c r="DQ16" t="s" s="35">
        <v>128</v>
      </c>
      <c r="DR16" t="n" s="35">
        <v>0.0</v>
      </c>
      <c r="DS16" t="s" s="35">
        <v>5</v>
      </c>
      <c r="DT16" t="s" s="35">
        <v>128</v>
      </c>
      <c r="DU16" t="s" s="35">
        <v>128</v>
      </c>
      <c r="DW16" t="n" s="35">
        <v>0.0</v>
      </c>
      <c r="DX16" t="n" s="35">
        <v>10.0</v>
      </c>
      <c r="DY16" s="35"/>
      <c r="DZ16" s="35"/>
      <c r="EA16" s="35"/>
      <c r="EB16" s="35"/>
    </row>
    <row r="17">
      <c r="A17" t="s" s="26">
        <v>163</v>
      </c>
      <c r="B17" t="s" s="26">
        <v>164</v>
      </c>
      <c r="C17" t="s" s="26">
        <v>118</v>
      </c>
      <c r="D17" t="s" s="26">
        <v>165</v>
      </c>
      <c r="E17" t="s" s="26">
        <v>157</v>
      </c>
      <c r="F17" t="s" s="26">
        <v>162</v>
      </c>
      <c r="G17" s="26"/>
      <c r="H17" s="26"/>
      <c r="I17" t="s" s="26">
        <v>124</v>
      </c>
      <c r="J17" s="26"/>
      <c r="K17" s="26"/>
      <c r="L17" t="n" s="35">
        <v>10.0</v>
      </c>
      <c r="M17" t="s" s="26">
        <v>125</v>
      </c>
      <c r="N17" s="49"/>
      <c r="O17" s="35"/>
      <c r="P17" s="35"/>
      <c r="Q17" t="n" s="35">
        <v>100.0</v>
      </c>
      <c r="R17" t="n" s="35">
        <v>0.0</v>
      </c>
      <c r="S17" t="n" s="35">
        <v>0.0</v>
      </c>
      <c r="T17" t="n" s="35">
        <v>0.0</v>
      </c>
      <c r="U17" s="35">
        <f>Q17-R17+S17-T17</f>
      </c>
      <c r="V17" s="29" t="s">
        <v>5</v>
      </c>
      <c r="W17" s="25"/>
      <c r="X17" s="13"/>
      <c r="Y17" t="n" s="35">
        <v>0.0</v>
      </c>
      <c r="Z17" t="s" s="27">
        <v>128</v>
      </c>
      <c r="AA17" t="n" s="35">
        <v>0.0</v>
      </c>
      <c r="AB17" s="26"/>
      <c r="AC17" s="26"/>
      <c r="AD17" t="n" s="35">
        <v>0.0</v>
      </c>
      <c r="AE17" t="s" s="35">
        <v>5</v>
      </c>
      <c r="AF17" t="s" s="35">
        <v>128</v>
      </c>
      <c r="AG17" t="s" s="35">
        <v>128</v>
      </c>
      <c r="AH17" t="n" s="35">
        <v>0.0</v>
      </c>
      <c r="AI17" t="s" s="35">
        <v>5</v>
      </c>
      <c r="AJ17" t="s" s="35">
        <v>128</v>
      </c>
      <c r="AK17" t="s" s="35">
        <v>128</v>
      </c>
      <c r="AL17" t="n" s="35">
        <v>0.0</v>
      </c>
      <c r="AM17" t="s" s="35">
        <v>5</v>
      </c>
      <c r="AN17" t="s" s="35">
        <v>128</v>
      </c>
      <c r="AO17" t="s" s="35">
        <v>128</v>
      </c>
      <c r="AP17" t="n" s="35">
        <v>0.0</v>
      </c>
      <c r="AQ17" t="s" s="35">
        <v>5</v>
      </c>
      <c r="AR17" t="s" s="35">
        <v>128</v>
      </c>
      <c r="AS17" t="s" s="35">
        <v>128</v>
      </c>
      <c r="AT17" t="n" s="35">
        <v>0.0</v>
      </c>
      <c r="AU17" t="s" s="35">
        <v>5</v>
      </c>
      <c r="AV17" t="s" s="35">
        <v>128</v>
      </c>
      <c r="AW17" t="s" s="35">
        <v>128</v>
      </c>
      <c r="AX17" t="n" s="35">
        <v>0.0</v>
      </c>
      <c r="AY17" t="s" s="35">
        <v>5</v>
      </c>
      <c r="AZ17" t="s" s="35">
        <v>128</v>
      </c>
      <c r="BA17" t="s" s="35">
        <v>128</v>
      </c>
      <c r="BB17" t="n" s="35">
        <v>0.0</v>
      </c>
      <c r="BC17" t="s" s="35">
        <v>5</v>
      </c>
      <c r="BD17" t="s" s="35">
        <v>128</v>
      </c>
      <c r="BE17" t="s" s="35">
        <v>128</v>
      </c>
      <c r="BF17" t="n" s="35">
        <v>0.0</v>
      </c>
      <c r="BG17" t="s" s="35">
        <v>5</v>
      </c>
      <c r="BH17" t="s" s="35">
        <v>128</v>
      </c>
      <c r="BI17" t="s" s="35">
        <v>128</v>
      </c>
      <c r="BJ17" t="n" s="35">
        <v>0.0</v>
      </c>
      <c r="BK17" t="s" s="35">
        <v>5</v>
      </c>
      <c r="BL17" t="s" s="35">
        <v>128</v>
      </c>
      <c r="BM17" t="s" s="35">
        <v>128</v>
      </c>
      <c r="BN17" t="n" s="35">
        <v>0.0</v>
      </c>
      <c r="BO17" t="s" s="35">
        <v>5</v>
      </c>
      <c r="BP17" t="s" s="35">
        <v>128</v>
      </c>
      <c r="BQ17" t="s" s="35">
        <v>128</v>
      </c>
      <c r="BR17" t="n" s="35">
        <v>0.0</v>
      </c>
      <c r="BS17" t="s" s="35">
        <v>5</v>
      </c>
      <c r="BT17" t="s" s="35">
        <v>128</v>
      </c>
      <c r="BU17" t="s" s="35">
        <v>128</v>
      </c>
      <c r="BV17" t="n" s="35">
        <v>0.0</v>
      </c>
      <c r="BW17" t="s" s="35">
        <v>5</v>
      </c>
      <c r="BX17" t="s" s="35">
        <v>128</v>
      </c>
      <c r="BY17" t="s" s="35">
        <v>128</v>
      </c>
      <c r="BZ17" t="n" s="35">
        <v>0.0</v>
      </c>
      <c r="CA17" t="s" s="35">
        <v>5</v>
      </c>
      <c r="CB17" t="s" s="35">
        <v>128</v>
      </c>
      <c r="CC17" t="s" s="35">
        <v>128</v>
      </c>
      <c r="CD17" t="n" s="35">
        <v>0.0</v>
      </c>
      <c r="CE17" t="s" s="35">
        <v>5</v>
      </c>
      <c r="CF17" t="s" s="35">
        <v>128</v>
      </c>
      <c r="CG17" t="s" s="35">
        <v>128</v>
      </c>
      <c r="CH17" t="n" s="35">
        <v>0.0</v>
      </c>
      <c r="CI17" t="s" s="35">
        <v>5</v>
      </c>
      <c r="CJ17" t="s" s="35">
        <v>128</v>
      </c>
      <c r="CK17" t="s" s="35">
        <v>128</v>
      </c>
      <c r="CL17" t="n" s="35">
        <v>0.0</v>
      </c>
      <c r="CM17" t="s" s="35">
        <v>5</v>
      </c>
      <c r="CN17" t="s" s="35">
        <v>128</v>
      </c>
      <c r="CO17" t="s" s="35">
        <v>128</v>
      </c>
      <c r="CP17" t="n" s="35">
        <v>0.0</v>
      </c>
      <c r="CQ17" t="s" s="35">
        <v>5</v>
      </c>
      <c r="CR17" t="s" s="35">
        <v>128</v>
      </c>
      <c r="CS17" t="s" s="35">
        <v>128</v>
      </c>
      <c r="CT17" t="n" s="35">
        <v>0.0</v>
      </c>
      <c r="CU17" t="s" s="35">
        <v>5</v>
      </c>
      <c r="CV17" t="s" s="35">
        <v>128</v>
      </c>
      <c r="CW17" t="s" s="35">
        <v>128</v>
      </c>
      <c r="CX17" t="n" s="35">
        <v>0.0</v>
      </c>
      <c r="CY17" t="s" s="35">
        <v>5</v>
      </c>
      <c r="CZ17" t="s" s="35">
        <v>128</v>
      </c>
      <c r="DA17" t="s" s="35">
        <v>128</v>
      </c>
      <c r="DB17" t="n" s="35">
        <v>0.0</v>
      </c>
      <c r="DC17" t="s" s="35">
        <v>5</v>
      </c>
      <c r="DD17" t="s" s="35">
        <v>128</v>
      </c>
      <c r="DE17" t="s" s="35">
        <v>128</v>
      </c>
      <c r="DF17" t="n" s="35">
        <v>0.0</v>
      </c>
      <c r="DG17" t="s" s="35">
        <v>5</v>
      </c>
      <c r="DH17" t="s" s="35">
        <v>128</v>
      </c>
      <c r="DI17" t="s" s="35">
        <v>128</v>
      </c>
      <c r="DJ17" t="n" s="35">
        <v>0.0</v>
      </c>
      <c r="DK17" t="s" s="35">
        <v>5</v>
      </c>
      <c r="DL17" t="s" s="35">
        <v>128</v>
      </c>
      <c r="DM17" t="s" s="35">
        <v>128</v>
      </c>
      <c r="DN17" t="n" s="35">
        <v>0.0</v>
      </c>
      <c r="DO17" t="s" s="35">
        <v>5</v>
      </c>
      <c r="DP17" t="s" s="35">
        <v>128</v>
      </c>
      <c r="DQ17" t="s" s="35">
        <v>128</v>
      </c>
      <c r="DR17" t="n" s="35">
        <v>0.0</v>
      </c>
      <c r="DS17" t="s" s="35">
        <v>5</v>
      </c>
      <c r="DT17" t="s" s="35">
        <v>128</v>
      </c>
      <c r="DU17" t="s" s="35">
        <v>128</v>
      </c>
      <c r="DW17" t="n" s="35">
        <v>0.0</v>
      </c>
      <c r="DX17" t="n" s="35">
        <v>10.0</v>
      </c>
      <c r="DY17" s="35"/>
      <c r="DZ17" s="35"/>
      <c r="EA17" s="35"/>
      <c r="EB17" s="35"/>
    </row>
  </sheetData>
  <mergeCells>
    <mergeCell ref="A1:C2"/>
    <mergeCell ref="W1:W5"/>
    <mergeCell ref="Q6:X6"/>
    <mergeCell ref="Y6:Z6"/>
    <mergeCell ref="AA6:AA7"/>
    <mergeCell ref="AB6:AB7"/>
    <mergeCell ref="AC6:AC7"/>
    <mergeCell ref="AD5:AG5"/>
    <mergeCell ref="AH5:AK5"/>
    <mergeCell ref="AL5:AO5"/>
    <mergeCell ref="AP5:AS5"/>
    <mergeCell ref="AT5:AW5"/>
    <mergeCell ref="AX5:BA5"/>
    <mergeCell ref="BB5:BE5"/>
    <mergeCell ref="BF5:BI5"/>
    <mergeCell ref="BJ5:BM5"/>
    <mergeCell ref="BN5:BQ5"/>
    <mergeCell ref="BR5:BU5"/>
    <mergeCell ref="BV5:BY5"/>
    <mergeCell ref="BZ5:CC5"/>
    <mergeCell ref="CD5:CG5"/>
    <mergeCell ref="CH5:CK5"/>
    <mergeCell ref="CL5:CO5"/>
    <mergeCell ref="CP5:CS5"/>
    <mergeCell ref="CT5:CW5"/>
    <mergeCell ref="CX5:DA5"/>
    <mergeCell ref="DB5:DE5"/>
    <mergeCell ref="DF5:DI5"/>
    <mergeCell ref="DJ5:DM5"/>
    <mergeCell ref="DN5:DQ5"/>
    <mergeCell ref="DR5:DU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>
    <mc:Choice Requires="x14">
      <controls>
        <mc:AlternateContent>
          <mc:Choice Requires="x14">
            <control shapeId="1032" r:id="rId4" name="C_1">
              <controlPr defaultSize="0" autoFill="0" autoLine="0" autoPict="0">
                <anchor moveWithCells="1">
                  <from>
                    <xdr:col>29</xdr:col>
                    <xdr:colOff>266700</xdr:colOff>
                    <xdr:row>1</xdr:row>
                    <xdr:rowOff>152400</xdr:rowOff>
                  </from>
                  <to>
                    <xdr:col>29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3" r:id="rId5" name="C_2">
              <controlPr defaultSize="0" autoFill="0" autoLine="0" autoPict="0">
                <anchor moveWithCells="1">
                  <from>
                    <xdr:col>30</xdr:col>
                    <xdr:colOff>266700</xdr:colOff>
                    <xdr:row>1</xdr:row>
                    <xdr:rowOff>152400</xdr:rowOff>
                  </from>
                  <to>
                    <xdr:col>30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4" r:id="rId6" name="C_3">
              <controlPr defaultSize="0" autoFill="0" autoLine="0" autoPict="0">
                <anchor moveWithCells="1">
                  <from>
                    <xdr:col>31</xdr:col>
                    <xdr:colOff>266700</xdr:colOff>
                    <xdr:row>1</xdr:row>
                    <xdr:rowOff>152400</xdr:rowOff>
                  </from>
                  <to>
                    <xdr:col>31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5" r:id="rId7" name="C_4">
              <controlPr defaultSize="0" autoFill="0" autoLine="0" autoPict="0">
                <anchor moveWithCells="1">
                  <from>
                    <xdr:col>32</xdr:col>
                    <xdr:colOff>266700</xdr:colOff>
                    <xdr:row>1</xdr:row>
                    <xdr:rowOff>152400</xdr:rowOff>
                  </from>
                  <to>
                    <xdr:col>32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6" r:id="rId8" name="C_5">
              <controlPr defaultSize="0" autoFill="0" autoLine="0" autoPict="0">
                <anchor moveWithCells="1">
                  <from>
                    <xdr:col>33</xdr:col>
                    <xdr:colOff>266700</xdr:colOff>
                    <xdr:row>1</xdr:row>
                    <xdr:rowOff>152400</xdr:rowOff>
                  </from>
                  <to>
                    <xdr:col>33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7" r:id="rId9" name="C_6">
              <controlPr defaultSize="0" autoFill="0" autoLine="0" autoPict="0">
                <anchor moveWithCells="1">
                  <from>
                    <xdr:col>34</xdr:col>
                    <xdr:colOff>266700</xdr:colOff>
                    <xdr:row>1</xdr:row>
                    <xdr:rowOff>152400</xdr:rowOff>
                  </from>
                  <to>
                    <xdr:col>34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8" r:id="rId10" name="C_7">
              <controlPr defaultSize="0" autoFill="0" autoLine="0" autoPict="0">
                <anchor moveWithCells="1">
                  <from>
                    <xdr:col>35</xdr:col>
                    <xdr:colOff>266700</xdr:colOff>
                    <xdr:row>1</xdr:row>
                    <xdr:rowOff>152400</xdr:rowOff>
                  </from>
                  <to>
                    <xdr:col>35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>
          <mc:Choice Requires="x14">
            <control shapeId="1039" r:id="rId11" name="Button 15">
              <controlPr defaultSize="0" print="0" autoFill="0" autoPict="0" macro="[0]!A01_InitButton.refreshButton">
                <anchor moveWithCells="1" sizeWithCells="1">
                  <from>
                    <xdr:col>36</xdr:col>
                    <xdr:colOff>22860</xdr:colOff>
                    <xdr:row>2</xdr:row>
                    <xdr:rowOff>15240</xdr:rowOff>
                  </from>
                  <to>
                    <xdr:col>36</xdr:col>
                    <xdr:colOff>1043940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2021-06-17T05:27:04Z</dcterms:created>
  <dc:creator>chenzx</dc:creator>
  <cp:lastModifiedBy>liuyinchuan</cp:lastModifiedBy>
  <dcterms:modified xsi:type="dcterms:W3CDTF">2021-09-03T08:25:57Z</dcterms:modified>
</cp:coreProperties>
</file>